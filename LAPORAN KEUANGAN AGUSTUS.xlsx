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enyusutan Peralatan" sheetId="2" r:id="rId6"/>
    <sheet state="visible" name="Daftar Akun" sheetId="3" r:id="rId7"/>
    <sheet state="visible" name="Jurnal Umum" sheetId="4" r:id="rId8"/>
    <sheet state="visible" name="Buku Besar" sheetId="5" r:id="rId9"/>
    <sheet state="visible" name="Neraca Saldo" sheetId="6" r:id="rId10"/>
    <sheet state="visible" name="Laba Rugi" sheetId="7" r:id="rId11"/>
    <sheet state="visible" name="Neraca" sheetId="8" r:id="rId12"/>
    <sheet state="visible" name="Arus Kas" sheetId="9" r:id="rId13"/>
    <sheet state="visible" name="Data Bulanan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Input manual: nilai persediaan bunga akhir bulan hasil stock opname fisik. Baris ini memo saja (bukan hasil penjurnalan), dipakai untuk hitung HPP di Laba Rugi &amp; Neraca.</t>
      </text>
    </comment>
  </commentList>
</comments>
</file>

<file path=xl/sharedStrings.xml><?xml version="1.0" encoding="utf-8"?>
<sst xmlns="http://schemas.openxmlformats.org/spreadsheetml/2006/main" count="2368" uniqueCount="654">
  <si>
    <t>DASHBOARD KEUANGAN</t>
  </si>
  <si>
    <t>PT BIGATRI INDOFLORA PACIFIC</t>
  </si>
  <si>
    <t>BLOOMORIST</t>
  </si>
  <si>
    <t>JURNAL UMUM — Periode Agustus 2026</t>
  </si>
  <si>
    <t>DAFTAR AKUN (CHART OF ACCOUNTS) — Periode Agustus 2026</t>
  </si>
  <si>
    <t>TOTAL PENJUALAN</t>
  </si>
  <si>
    <t>TOTAL BEBAN (HPP+OPS)</t>
  </si>
  <si>
    <t>Kode Akun</t>
  </si>
  <si>
    <t>Bulan Desember Tahun 2025</t>
  </si>
  <si>
    <t>LABA BERSIH</t>
  </si>
  <si>
    <t>KAS &amp; BANK SAAT INI</t>
  </si>
  <si>
    <t>Nama Akun</t>
  </si>
  <si>
    <t>Bulan Agustus Tahun 2026</t>
  </si>
  <si>
    <t>Kategori</t>
  </si>
  <si>
    <t>Saldo Normal</t>
  </si>
  <si>
    <t>Nama Aset</t>
  </si>
  <si>
    <t>Tanggal</t>
  </si>
  <si>
    <t>Bulan Beli</t>
  </si>
  <si>
    <t>1101</t>
  </si>
  <si>
    <t>Harga
 Perolehan</t>
  </si>
  <si>
    <t>No. Bukti</t>
  </si>
  <si>
    <t>Keterangan</t>
  </si>
  <si>
    <t>Kas</t>
  </si>
  <si>
    <t>Penyusutan 
/ Bulan</t>
  </si>
  <si>
    <t>Akm.
 Penyusutan</t>
  </si>
  <si>
    <t>Nilai Buku
 (Neto)</t>
  </si>
  <si>
    <t>Debit (Rp)</t>
  </si>
  <si>
    <t>Nilai Buku 
(Neto)</t>
  </si>
  <si>
    <t>Kredit (Rp)</t>
  </si>
  <si>
    <t>Aktiva Lancar</t>
  </si>
  <si>
    <t>HP Operasional</t>
  </si>
  <si>
    <t>Debit</t>
  </si>
  <si>
    <t>September</t>
  </si>
  <si>
    <t>1102</t>
  </si>
  <si>
    <t>Bank</t>
  </si>
  <si>
    <t>Urutan/Akun</t>
  </si>
  <si>
    <t>1103</t>
  </si>
  <si>
    <t>Piutang Dagang</t>
  </si>
  <si>
    <t>Kunci Pencarian (jangan dihapus)</t>
  </si>
  <si>
    <t>1104</t>
  </si>
  <si>
    <t>Kode Akun 
Lawan</t>
  </si>
  <si>
    <t>Persediaan Bunga</t>
  </si>
  <si>
    <t>RINGKASAN LAPORAN LABA RUGI</t>
  </si>
  <si>
    <t>1105</t>
  </si>
  <si>
    <t>Peralatan</t>
  </si>
  <si>
    <t>Aktiva Tetap</t>
  </si>
  <si>
    <t>1106</t>
  </si>
  <si>
    <t>Akumulasi Penyusutan Peralatan</t>
  </si>
  <si>
    <t>Aktiva Tetap (Kontra)</t>
  </si>
  <si>
    <t>Penjualan Bersih</t>
  </si>
  <si>
    <t>Kredit</t>
  </si>
  <si>
    <t>1107</t>
  </si>
  <si>
    <t>Piutang Ongkir</t>
  </si>
  <si>
    <t>1108</t>
  </si>
  <si>
    <t>Modal Awal Bulan Agustus 2026</t>
  </si>
  <si>
    <t>Perlengkapan</t>
  </si>
  <si>
    <t>Harga Pokok Penjualan (HPP)</t>
  </si>
  <si>
    <t>1109</t>
  </si>
  <si>
    <t>Piutang Investasi</t>
  </si>
  <si>
    <t>Debet</t>
  </si>
  <si>
    <t>1110</t>
  </si>
  <si>
    <t>Uang Muka Pembelian Petani</t>
  </si>
  <si>
    <t>Laba Kotor</t>
  </si>
  <si>
    <t>1111</t>
  </si>
  <si>
    <t>Gaji Bayar di Muka</t>
  </si>
  <si>
    <t>1112</t>
  </si>
  <si>
    <t>Uang Muka Pembelian Tanah</t>
  </si>
  <si>
    <t>2101</t>
  </si>
  <si>
    <t>Total Beban Operasional</t>
  </si>
  <si>
    <t>Hutang Dagang</t>
  </si>
  <si>
    <t>Kewajiban Lancar</t>
  </si>
  <si>
    <t>2102</t>
  </si>
  <si>
    <t>Uang Muka Penjualan</t>
  </si>
  <si>
    <t>3101</t>
  </si>
  <si>
    <t>Modal Pemilik</t>
  </si>
  <si>
    <t>Modal</t>
  </si>
  <si>
    <t>Laba Bersih</t>
  </si>
  <si>
    <t>3102</t>
  </si>
  <si>
    <t>Prive</t>
  </si>
  <si>
    <t>Modal (Kontra)</t>
  </si>
  <si>
    <t>4101</t>
  </si>
  <si>
    <t>Penjualan</t>
  </si>
  <si>
    <t>Pendapatan</t>
  </si>
  <si>
    <t>4102</t>
  </si>
  <si>
    <t>POSISI KEUANGAN (NERACA)</t>
  </si>
  <si>
    <t>Retur Penjualan</t>
  </si>
  <si>
    <t>Pendapatan (Kontra)</t>
  </si>
  <si>
    <t>4103</t>
  </si>
  <si>
    <t>Pendapatan Bunga</t>
  </si>
  <si>
    <t>Total Aktiva</t>
  </si>
  <si>
    <t>Pendapatan Lain-Lain</t>
  </si>
  <si>
    <t>4104</t>
  </si>
  <si>
    <t xml:space="preserve"> Pendapatan Lain-Lain</t>
  </si>
  <si>
    <t>5101</t>
  </si>
  <si>
    <t>Pembelian Bunga</t>
  </si>
  <si>
    <t>Beban Pokok Penjualan</t>
  </si>
  <si>
    <t>5102</t>
  </si>
  <si>
    <t>Total Kewajiban</t>
  </si>
  <si>
    <t>Retur Pembelian</t>
  </si>
  <si>
    <t>Beban Pokok Penjualan (Kontra)</t>
  </si>
  <si>
    <t>5103</t>
  </si>
  <si>
    <t>Beban Angkut Pembelian</t>
  </si>
  <si>
    <t>Total Modal</t>
  </si>
  <si>
    <t>5104</t>
  </si>
  <si>
    <t>HPP</t>
  </si>
  <si>
    <t>6101</t>
  </si>
  <si>
    <t>Beban Gaji</t>
  </si>
  <si>
    <t>Beban Operasional</t>
  </si>
  <si>
    <t>6102</t>
  </si>
  <si>
    <t>Beban Sewa</t>
  </si>
  <si>
    <t>6103</t>
  </si>
  <si>
    <t>Beban Utilitas</t>
  </si>
  <si>
    <t>6104</t>
  </si>
  <si>
    <t>Beban Angkut Penjualan</t>
  </si>
  <si>
    <t>6105</t>
  </si>
  <si>
    <t>Beban Penyusutan</t>
  </si>
  <si>
    <t>6106</t>
  </si>
  <si>
    <t>Beban Kerugian Bunga Rusak/Layu</t>
  </si>
  <si>
    <t>6107</t>
  </si>
  <si>
    <t>Beban Perlengkapan</t>
  </si>
  <si>
    <t>Meja Kursih</t>
  </si>
  <si>
    <t>6108</t>
  </si>
  <si>
    <t>Beban Lain-Lain</t>
  </si>
  <si>
    <t>6109</t>
  </si>
  <si>
    <t>Beban Akomodasi</t>
  </si>
  <si>
    <t>Komputer</t>
  </si>
  <si>
    <t>6110</t>
  </si>
  <si>
    <t>Beban Pesangon</t>
  </si>
  <si>
    <t>Tambahan Komputer</t>
  </si>
  <si>
    <t>Oktober</t>
  </si>
  <si>
    <t>CCTV</t>
  </si>
  <si>
    <t>Mesin Bor</t>
  </si>
  <si>
    <t>November</t>
  </si>
  <si>
    <t>Speaker PC</t>
  </si>
  <si>
    <t>Gunting Batang</t>
  </si>
  <si>
    <t>Desember</t>
  </si>
  <si>
    <t>Tape Dispenser</t>
  </si>
  <si>
    <t>Tropid</t>
  </si>
  <si>
    <t>Pinjaman Modal Greenhouse</t>
  </si>
  <si>
    <t>Total</t>
  </si>
  <si>
    <t>Tambahan Tape Dispenser</t>
  </si>
  <si>
    <t>Bulan September Tahun 2026</t>
  </si>
  <si>
    <t>BUKU BESAR 
Periode Agustus 2026</t>
  </si>
  <si>
    <t>Pilih Kode Akun:</t>
  </si>
  <si>
    <t>Abunemen Petani Aster - Mas Yuli</t>
  </si>
  <si>
    <t>Nama Akun:</t>
  </si>
  <si>
    <t>Saldo Normal:</t>
  </si>
  <si>
    <t>Saldo Akhir:</t>
  </si>
  <si>
    <t>Talangan Ongkir DMK Cargo</t>
  </si>
  <si>
    <t>Saldo (Rp)</t>
  </si>
  <si>
    <t>Baris JU</t>
  </si>
  <si>
    <t>Bulan Oktober Tahun 2026</t>
  </si>
  <si>
    <t>Pembayaran Bunga Pikok - Bu Nisa</t>
  </si>
  <si>
    <t>Pembayaran Bunga Bromo - Nongkojajar</t>
  </si>
  <si>
    <t>Bulan November Tahun 2026</t>
  </si>
  <si>
    <t>Pembelian Bunga di Om Toha</t>
  </si>
  <si>
    <t>BK-260801-001</t>
  </si>
  <si>
    <t>Pembelian Bunga di WKF</t>
  </si>
  <si>
    <t>Bulan Desember Tahun 2026</t>
  </si>
  <si>
    <t>Pengembalian Dana Talangan Ongkir</t>
  </si>
  <si>
    <t>Tarik Tunai untuk kas operasional</t>
  </si>
  <si>
    <t>Ongkir Pembelian Bunga - Mas Pradan</t>
  </si>
  <si>
    <t>Pembelian Bunga oleh tim operasional</t>
  </si>
  <si>
    <t>KK-260801-002</t>
  </si>
  <si>
    <t xml:space="preserve">Pembayaran Zainul Florist </t>
  </si>
  <si>
    <t>Talangan Ongkir Travel - Pesona Travel - Ngawi</t>
  </si>
  <si>
    <t>PT BIGATRI INDOFLORAPACIFIC</t>
  </si>
  <si>
    <t>NERACA SALDO (TRIAL BALANCE) — Periode Agustus 2026</t>
  </si>
  <si>
    <t>Biaya Admin Kartu BCA</t>
  </si>
  <si>
    <t>INV-108265324</t>
  </si>
  <si>
    <t>Penjualan Bunga - Terry</t>
  </si>
  <si>
    <t>INV-108268980</t>
  </si>
  <si>
    <t>Penjualan Bunga - Sunny</t>
  </si>
  <si>
    <t>INV-108267202</t>
  </si>
  <si>
    <t>Penjualan Bunga - Tiara</t>
  </si>
  <si>
    <t>BM-260801-001</t>
  </si>
  <si>
    <t>Penjualan Bunga Ke Vendor - Mas Abizar</t>
  </si>
  <si>
    <t>Utang Dagang</t>
  </si>
  <si>
    <t>PV-007</t>
  </si>
  <si>
    <t>Penjualan Bunga Ke Vendor - Mak Pon</t>
  </si>
  <si>
    <t>Pembayaran Penjualan Tanggal 1</t>
  </si>
  <si>
    <t>BK-260803-001</t>
  </si>
  <si>
    <t>Pembayaran Bunga WKF</t>
  </si>
  <si>
    <t>BK-260803-002</t>
  </si>
  <si>
    <t>Pembayaran Bunga di Grace Rose</t>
  </si>
  <si>
    <t>Pembelian Bunga di Vendor - Mak Pon</t>
  </si>
  <si>
    <t>Beban Angkut Penjualan (Ekspedisi)</t>
  </si>
  <si>
    <t>Pembelian Bunga di Vendor - Pak Sumadi</t>
  </si>
  <si>
    <t>KK-260803-001</t>
  </si>
  <si>
    <t>Pembelian Bunga di Vendor - Pak Benung</t>
  </si>
  <si>
    <t>KK-260803-002</t>
  </si>
  <si>
    <t>KK-260803-003</t>
  </si>
  <si>
    <t>Pembelian Bunga ke Vendor - Mas Felix</t>
  </si>
  <si>
    <t>KM-260803-001</t>
  </si>
  <si>
    <t>BB-260903-001</t>
  </si>
  <si>
    <t>Pembelian Bunga ke Vendor - Bu Yul</t>
  </si>
  <si>
    <t>Dana Tambahan dari Mas Bintang</t>
  </si>
  <si>
    <t>PV-001</t>
  </si>
  <si>
    <t>Penjualan Bunga ke Vendor - Bu Yul</t>
  </si>
  <si>
    <t>INV-308268185</t>
  </si>
  <si>
    <t>Penjualan Bunga - Rinda</t>
  </si>
  <si>
    <t>INV-308261228</t>
  </si>
  <si>
    <t>Penjualan Bunga - Regina</t>
  </si>
  <si>
    <t>Pembelian Bunga ke Vendor - Mba Yeti</t>
  </si>
  <si>
    <t>BK-260804-001</t>
  </si>
  <si>
    <t>Pembelian Bunga ke Omniflora</t>
  </si>
  <si>
    <t>Persedian Bunga</t>
  </si>
  <si>
    <t>Pembayaran Ongkir Pembelian Bunga - Daytrans</t>
  </si>
  <si>
    <t>KK-260804-002</t>
  </si>
  <si>
    <t>KK-260804-003</t>
  </si>
  <si>
    <t>Ganti BBM Mas Refan - ambil bunga ke Daytrans</t>
  </si>
  <si>
    <t>TOTAL (akun double-entry dari Jurnal Umum)</t>
  </si>
  <si>
    <t>KK-260804-001</t>
  </si>
  <si>
    <t>Pembelian BBM Motor untuk Operasional</t>
  </si>
  <si>
    <t>Persediaan Bunga (Akhir) - Memo, hasil stock opname</t>
  </si>
  <si>
    <t xml:space="preserve">Pembelian Paket Data - Mas Refan </t>
  </si>
  <si>
    <t>BB-260804-001</t>
  </si>
  <si>
    <t>Talangan Pembayaran Ongkir DMK Cargo</t>
  </si>
  <si>
    <t>Penjualan Bunga Tanggal 3</t>
  </si>
  <si>
    <t>INV-408267908</t>
  </si>
  <si>
    <t>Penjualan Bunga - Lala Zfr</t>
  </si>
  <si>
    <t>INV-408262141</t>
  </si>
  <si>
    <t>Penjualan Bunga - Aziza</t>
  </si>
  <si>
    <t>INV-408266324</t>
  </si>
  <si>
    <t>Pembelian Bunga Pikok di Mas Dana</t>
  </si>
  <si>
    <t>PV-002</t>
  </si>
  <si>
    <t>Talangan Ongkir DMK Cargo tanggal 4</t>
  </si>
  <si>
    <t>Penjualan Bunga Tanggal 4</t>
  </si>
  <si>
    <t>Pengembalian Dana Talangan Ongkir tanggal 4</t>
  </si>
  <si>
    <t>KK-260805-002</t>
  </si>
  <si>
    <t>KK-260805-001</t>
  </si>
  <si>
    <t>Pembelian Bunga Garbera</t>
  </si>
  <si>
    <t>KK-260805-0003</t>
  </si>
  <si>
    <t>Pembelian Bunga di Atha Flora</t>
  </si>
  <si>
    <t>Pembelian Bunga di Pro Florist</t>
  </si>
  <si>
    <t>Pembelian Bunga di Vendor - Om Toha</t>
  </si>
  <si>
    <t>Pembelian Bunga di Vendor - Mba Ciput</t>
  </si>
  <si>
    <t>Penjualan Bunga ke Saflorist</t>
  </si>
  <si>
    <t>Talangan Ongkir Travel - Banyuwangi</t>
  </si>
  <si>
    <t>INV-508264117</t>
  </si>
  <si>
    <t>Penjualan Bunga ke Agung Dekorasi</t>
  </si>
  <si>
    <t>INV-508269129</t>
  </si>
  <si>
    <t>Penjualan Bunga ke Tiara</t>
  </si>
  <si>
    <t>BK-2608050001</t>
  </si>
  <si>
    <t>BB-260805-001</t>
  </si>
  <si>
    <t>Talangan Ongkir DMK Cargo tgl 5</t>
  </si>
  <si>
    <t>Penjualan tgl 5</t>
  </si>
  <si>
    <t>Pengembalian Talangan Ongkir DMK Tgl 5</t>
  </si>
  <si>
    <t>KK-260806-001</t>
  </si>
  <si>
    <t>Pembelian bunga oleh tim operasional</t>
  </si>
  <si>
    <t>KK-260806-002</t>
  </si>
  <si>
    <t>KK-260806-003</t>
  </si>
  <si>
    <t>Pembelian karet operasional</t>
  </si>
  <si>
    <t>pembelian karet operasional</t>
  </si>
  <si>
    <t>PV-009</t>
  </si>
  <si>
    <t>Penjualan Bunga ke Vendor - Mba Eka</t>
  </si>
  <si>
    <t>Memberi pengamen</t>
  </si>
  <si>
    <t>BB-260806-001</t>
  </si>
  <si>
    <t>Pembelian bunga ke Vendor - Bu Yul</t>
  </si>
  <si>
    <t>INV-608262474</t>
  </si>
  <si>
    <t>Penjualan Bunga ke Clarissa</t>
  </si>
  <si>
    <t>INV-608262796</t>
  </si>
  <si>
    <t>Penjualan Bunga ke Regina</t>
  </si>
  <si>
    <t>LAPORAN LABA RUGI (PERIODIK - PERUSAHAAN DAGANG) 
Periode Agustus 2026</t>
  </si>
  <si>
    <t>PENDAPATAN</t>
  </si>
  <si>
    <t>INV-608268281</t>
  </si>
  <si>
    <t>Penjualan Bunga ke Sunny</t>
  </si>
  <si>
    <t>HARGA POKOK PENJUALAN (HPP)</t>
  </si>
  <si>
    <t>Talangan Ongkir DMK Cargo tgl 6</t>
  </si>
  <si>
    <t>Pembelian Bersih</t>
  </si>
  <si>
    <t>Pembayaran Paket Mas Bintang</t>
  </si>
  <si>
    <t>Persediaan Awal</t>
  </si>
  <si>
    <t>Barang Tersedia Dijual</t>
  </si>
  <si>
    <t>Persediaan Bunga Akhir (hasil stock opname)</t>
  </si>
  <si>
    <t>LABA KOTOR</t>
  </si>
  <si>
    <t>Mas Bintang Pinjam Uang</t>
  </si>
  <si>
    <t>BEBAN OPERASIONAL</t>
  </si>
  <si>
    <t>Pengembalian Talangan Ongkir DMK Tgl 6</t>
  </si>
  <si>
    <t>Penjualan tgl 6</t>
  </si>
  <si>
    <t>LABA USAHA</t>
  </si>
  <si>
    <t>PENDAPATAN DI LUAR USAHA</t>
  </si>
  <si>
    <t>KK-260807-004</t>
  </si>
  <si>
    <t>Pendapatan Bunga Piutang</t>
  </si>
  <si>
    <t>Total Pendapatan Di Luar Usaha</t>
  </si>
  <si>
    <t>KK-260807-001</t>
  </si>
  <si>
    <t>KK-260807-002</t>
  </si>
  <si>
    <t>Pembelian Amplas - Tim Operasional</t>
  </si>
  <si>
    <t>Penggantian Ongkir ambil bunga daytrans - Mas Sandi</t>
  </si>
  <si>
    <t>PV-004</t>
  </si>
  <si>
    <t>Penjualan Bunga Matahari ke Vendor - Mba Ciput</t>
  </si>
  <si>
    <t>BK-260807-001</t>
  </si>
  <si>
    <t>Pembelian Bunga ke Atha Flora</t>
  </si>
  <si>
    <t>BB-260807-001</t>
  </si>
  <si>
    <t>PV-003</t>
  </si>
  <si>
    <t>INV-708264058</t>
  </si>
  <si>
    <t>Penjualan Bunga ke Sekar</t>
  </si>
  <si>
    <t>INV-708261911</t>
  </si>
  <si>
    <t>Penjualan Bunga ke Yuliana</t>
  </si>
  <si>
    <t>Pembayaran Bunga ke Atha Flora</t>
  </si>
  <si>
    <t>Pembelian Bunga di Rasty</t>
  </si>
  <si>
    <t>Talangan Ongkir DMK Cargo Tgl 7</t>
  </si>
  <si>
    <t>Kasbon Karyawan - Mba Dinda</t>
  </si>
  <si>
    <t>Pembayaran Gaji Mingguan - Mas Sandi</t>
  </si>
  <si>
    <t>Pengembalian Talangan Ongkir DMK Cargo tgl 7</t>
  </si>
  <si>
    <t>Penjualan tgl 7</t>
  </si>
  <si>
    <t>INV-808266286</t>
  </si>
  <si>
    <t>KK-260808-001</t>
  </si>
  <si>
    <t>KK-260808-002</t>
  </si>
  <si>
    <t>Pembelian Bunga Sedap Malam</t>
  </si>
  <si>
    <t>KK-260808-003</t>
  </si>
  <si>
    <t>Pembayaran Gaji Mingguan - Mas Refan</t>
  </si>
  <si>
    <t>BB-260808-001</t>
  </si>
  <si>
    <t>Talangan Ongkir DMK Cargo tgl 08</t>
  </si>
  <si>
    <t>PV-006</t>
  </si>
  <si>
    <t>Penjualan Bunga ke Vendor - Mas Abizar</t>
  </si>
  <si>
    <t>Pengembalian Talangan Ongkir tgl 08</t>
  </si>
  <si>
    <t>Penjualan tanggal 8</t>
  </si>
  <si>
    <t>KK-260810-002</t>
  </si>
  <si>
    <t>Pembelian Dispenser Lakban</t>
  </si>
  <si>
    <t>KK-260810-001</t>
  </si>
  <si>
    <t>Pembelian Bunga Matahari di Mas Felix</t>
  </si>
  <si>
    <t>KK-260810-003</t>
  </si>
  <si>
    <t>KK-260810-004</t>
  </si>
  <si>
    <t>Pembelian token PLN Cold Storage</t>
  </si>
  <si>
    <t>Pembelian Bunga di Vendor - Mba Yeti</t>
  </si>
  <si>
    <t>BK-260810-001</t>
  </si>
  <si>
    <t>BB-260810-001</t>
  </si>
  <si>
    <t>Pembelian Bunga di Vendor - Bu Yul</t>
  </si>
  <si>
    <t>INV-1008260657</t>
  </si>
  <si>
    <t>INV-1008267510</t>
  </si>
  <si>
    <t>Penjualan Bunga ke Lala</t>
  </si>
  <si>
    <t>INV-1008264844</t>
  </si>
  <si>
    <t>INV-1008261092</t>
  </si>
  <si>
    <t>Penjualan Bunga ke Rinda</t>
  </si>
  <si>
    <t>INV-1008267520</t>
  </si>
  <si>
    <t>Penjualan Bunga ke Chikita</t>
  </si>
  <si>
    <t>Talangan Ongkir DMK Cargo tgl 11</t>
  </si>
  <si>
    <t>Pembayaran Kardus Packing</t>
  </si>
  <si>
    <t>KK-260811-003</t>
  </si>
  <si>
    <t>Pembelian Bunga di Divffal Florist</t>
  </si>
  <si>
    <t>KK-260811-001</t>
  </si>
  <si>
    <t>Isi Ulang Air Galon</t>
  </si>
  <si>
    <t>KK-260811-002</t>
  </si>
  <si>
    <t>Pembelian Tisu</t>
  </si>
  <si>
    <t>KK-260811-004</t>
  </si>
  <si>
    <t>Pembelian plastik untuk operasional</t>
  </si>
  <si>
    <t>BB-260811-001</t>
  </si>
  <si>
    <t>Pembayaran penjualan tanggal 10</t>
  </si>
  <si>
    <t>Pengembalian talangan DMK Cargo tgl 10</t>
  </si>
  <si>
    <t>INV-1108260038</t>
  </si>
  <si>
    <t>BK-260812-001</t>
  </si>
  <si>
    <t>Pembelian Bunga ke WKF</t>
  </si>
  <si>
    <t>Talangan Ongkir DMK Cargo tanggal 11</t>
  </si>
  <si>
    <t>Talangan Ongkir DMK Cargo Tanggal 11</t>
  </si>
  <si>
    <t>Pembayaran Gaji Karyawan - Mba Dinda</t>
  </si>
  <si>
    <t>KK-260812-001</t>
  </si>
  <si>
    <t>Pembelian Bensin Motor Operasional</t>
  </si>
  <si>
    <t>Pembelian Bunga Jengger Ayam</t>
  </si>
  <si>
    <t>KK-260812-003</t>
  </si>
  <si>
    <t>KK-260812-002</t>
  </si>
  <si>
    <t>INV-1208261553</t>
  </si>
  <si>
    <t>Penjualan Bunga ke Jeje</t>
  </si>
  <si>
    <t>Pengembalian talangan Ongkir DMK Cargo tgl 11</t>
  </si>
  <si>
    <t>Pembayaran Penjualan tanggal 11</t>
  </si>
  <si>
    <t>PV-005</t>
  </si>
  <si>
    <t>BB-260812-001</t>
  </si>
  <si>
    <t>INV-1208263790</t>
  </si>
  <si>
    <t>INV-1208262645</t>
  </si>
  <si>
    <t>INV-1208261677</t>
  </si>
  <si>
    <t>Penjualan Bunga ke Christ</t>
  </si>
  <si>
    <t>Talangan Ongkir DMK Cargo tanggal 12</t>
  </si>
  <si>
    <t>Pembelian Bunga di Bu Nisa</t>
  </si>
  <si>
    <t>Refund ke Sekar</t>
  </si>
  <si>
    <t>INV-1308267179</t>
  </si>
  <si>
    <t>KK-260813-001</t>
  </si>
  <si>
    <t>NERACA (BALANCE SHEET) 
31 Agustus 2026 — Periode Agustus 2026</t>
  </si>
  <si>
    <t>AKTIVA</t>
  </si>
  <si>
    <t>Talangan Ongkir Travel - Truck</t>
  </si>
  <si>
    <t xml:space="preserve">Piutang Ongkir </t>
  </si>
  <si>
    <t>LAPORAN ARUS KAS (METODE LANGSUNG) — Periode Agustus 2026</t>
  </si>
  <si>
    <t>Helper</t>
  </si>
  <si>
    <t>ARUS KAS DARI AKTIVITAS OPERASI</t>
  </si>
  <si>
    <t>Persediaan Bunga (Akhir)</t>
  </si>
  <si>
    <t>Penerimaan dari Penjualan</t>
  </si>
  <si>
    <t>Total Aktiva Lancar</t>
  </si>
  <si>
    <t>Talangan Ongkir Mas Pradan - Ojek</t>
  </si>
  <si>
    <t>Penerimaan Pelunasan Piutang Dagang</t>
  </si>
  <si>
    <t>Total Aktiva Tetap</t>
  </si>
  <si>
    <t>TOTAL AKTIVA</t>
  </si>
  <si>
    <t>BB-260813-001</t>
  </si>
  <si>
    <t>KEWAJIBAN</t>
  </si>
  <si>
    <t>Penerimaan Piutang Ongkir</t>
  </si>
  <si>
    <t>MODAL</t>
  </si>
  <si>
    <t>Modal Pemilik (Awal)</t>
  </si>
  <si>
    <t>Laba Bersih Periode Berjalan</t>
  </si>
  <si>
    <t>Total Modal (Akhir)</t>
  </si>
  <si>
    <t>51*</t>
  </si>
  <si>
    <t>Pembayaran Pembelian Bunga (bersih)</t>
  </si>
  <si>
    <t>TOTAL KEWAJIBAN + MODAL</t>
  </si>
  <si>
    <t>PV-008</t>
  </si>
  <si>
    <t>Pembayaran/Pelunasan Hutang Dagang</t>
  </si>
  <si>
    <t>INV-1308261456</t>
  </si>
  <si>
    <t>Penjualan Bunga ke Cyntia</t>
  </si>
  <si>
    <t>6*</t>
  </si>
  <si>
    <t>Pembayaran Beban Operasional (Gaji, sewa, utilitas, angkut, dll)</t>
  </si>
  <si>
    <t>Pembelian Perlengkapan</t>
  </si>
  <si>
    <t>INV-1308265781</t>
  </si>
  <si>
    <t>Penjualan Bunga ke Bu Nur</t>
  </si>
  <si>
    <t>Penerimaan Pendapatan Bunga</t>
  </si>
  <si>
    <t>PV-011</t>
  </si>
  <si>
    <t>Penjualan Bunga ke Vendor - Mba Ciput</t>
  </si>
  <si>
    <t>Penjualan Bunga ke Vendor - Mba CIput</t>
  </si>
  <si>
    <t>Pengembalian talangan Ongkir DMK Cargo tgl 12</t>
  </si>
  <si>
    <t>Penerimaan Pendapatan Lain-Lain</t>
  </si>
  <si>
    <t>Penerimaan Uang Muka Penjuala</t>
  </si>
  <si>
    <t>Pembayaran Penjualan tgl 12</t>
  </si>
  <si>
    <t>Kas Bersih dari Aktivitas Operasi</t>
  </si>
  <si>
    <t>ARUS KAS DARI AKTIVITAS INVESTASI</t>
  </si>
  <si>
    <t>Pembelian Peralatan</t>
  </si>
  <si>
    <t>KK-260814-001</t>
  </si>
  <si>
    <t>Pinjaman/Piutang Investasi</t>
  </si>
  <si>
    <t>BK-260814-001</t>
  </si>
  <si>
    <t>Pembelian Bunga di Freesia</t>
  </si>
  <si>
    <t>Kas Bersih dari Aktivitas Investasi</t>
  </si>
  <si>
    <t>ARUS KAS DARI AKTIVITAS PENDANAAN</t>
  </si>
  <si>
    <t>Setoran Modal Pemilik</t>
  </si>
  <si>
    <t>KK-260814-002</t>
  </si>
  <si>
    <t>Prive Pemilik</t>
  </si>
  <si>
    <t>Kas Bersih dari Aktivitas Pendanaan</t>
  </si>
  <si>
    <t>You C Mas Bintang</t>
  </si>
  <si>
    <t>KENAIKAN (PENURUNAN) KAS &amp; BANK BERSIH</t>
  </si>
  <si>
    <t>Saldo Kas &amp; Bank Awal Periode</t>
  </si>
  <si>
    <t>Saldo Kas &amp; Bank Akhir Periode</t>
  </si>
  <si>
    <t>KK-260814-003</t>
  </si>
  <si>
    <t>Ganti Ban dalam sepeda motor supra biru</t>
  </si>
  <si>
    <t>KK-260814-004</t>
  </si>
  <si>
    <t>Beli bahan bakaran ke pantai</t>
  </si>
  <si>
    <t>KK-260814-005</t>
  </si>
  <si>
    <t>Beli Bunga di WKF</t>
  </si>
  <si>
    <t>BB-260814-001</t>
  </si>
  <si>
    <t>Pembayaran Mas Pradan - ambil bunga di Fresia</t>
  </si>
  <si>
    <t>INV-1408260119</t>
  </si>
  <si>
    <t>Penjualan bunga ke Lala Zfr</t>
  </si>
  <si>
    <t>INV-1408269579</t>
  </si>
  <si>
    <t>Penjualan bunga ke Sunny</t>
  </si>
  <si>
    <t>INV-1408268912</t>
  </si>
  <si>
    <t>Penjualan bunga ke Tiara</t>
  </si>
  <si>
    <t>INV-1408266412</t>
  </si>
  <si>
    <t>Penjualan bunga ke Aziza</t>
  </si>
  <si>
    <t>Pembelian bunga di WKF</t>
  </si>
  <si>
    <t>INV-1408268426</t>
  </si>
  <si>
    <t>Penjualan bunga ke Rinda</t>
  </si>
  <si>
    <t>Pembayaran penjualan tanggal 13</t>
  </si>
  <si>
    <t>Pengembalian talangan ongkir tanggal 13</t>
  </si>
  <si>
    <t>Talangan ongkir DMK Cargo tanggal 14</t>
  </si>
  <si>
    <t>Pengembalian talangan ongkir DMK Cargo tgl 14</t>
  </si>
  <si>
    <t>Pembayaran penjualan tanggal 14</t>
  </si>
  <si>
    <t>Pembayaran Gaji Mas Refan (375k), Mba Dinda (250k)</t>
  </si>
  <si>
    <t>KK-260817-001</t>
  </si>
  <si>
    <t>Pembelian bensin sepeda motor operasional</t>
  </si>
  <si>
    <t>KK-260817-002</t>
  </si>
  <si>
    <t>KK-260817-003</t>
  </si>
  <si>
    <t>Pembelian Bensin Mobil HRV</t>
  </si>
  <si>
    <t>Pembelian bunga di vendor - Mba Ciput</t>
  </si>
  <si>
    <t>Pembelian Bunga di Bunga Bromo - Pembayaran tgl 10</t>
  </si>
  <si>
    <t>Pembayaran Gaji Mas Sandi</t>
  </si>
  <si>
    <t>INV-1708263287</t>
  </si>
  <si>
    <t>BB-260817-001</t>
  </si>
  <si>
    <t>KK-260818-001</t>
  </si>
  <si>
    <t>Pembelian bunga matahari di Mas Felix</t>
  </si>
  <si>
    <t>KK-260818-002</t>
  </si>
  <si>
    <t>KK-260818-003</t>
  </si>
  <si>
    <t>KK-260818-004</t>
  </si>
  <si>
    <t>Pembelian Bunga di Zainul Florist</t>
  </si>
  <si>
    <t>Pengembalian uang yang di pinjam Mas Bintang</t>
  </si>
  <si>
    <t>BB-260818-001</t>
  </si>
  <si>
    <t>BK-260818-001</t>
  </si>
  <si>
    <t>Talangan pembayaran ongkir DMK Cargo tgl 17</t>
  </si>
  <si>
    <t>Talangan ongkir travel tanggal 18</t>
  </si>
  <si>
    <t>KK-260818-005</t>
  </si>
  <si>
    <t>Service Mobil HRV</t>
  </si>
  <si>
    <t>Tambahan talangan ongkir DMK Cargo tgl 17</t>
  </si>
  <si>
    <t>PT BIGATRI INDONESIA PACIFIC</t>
  </si>
  <si>
    <t>REKAP DATA BULANAN — Periode Agustus 2026</t>
  </si>
  <si>
    <t>Bulan</t>
  </si>
  <si>
    <t>Penjualan Bunga ke Sherrys</t>
  </si>
  <si>
    <t>Kas &amp; Bank Akhir</t>
  </si>
  <si>
    <t>Agustus 2026</t>
  </si>
  <si>
    <t>Pembayaran Penjualan tanggal 17</t>
  </si>
  <si>
    <t>Pengembalian talangan ongkir DMK Cargo tgl 17</t>
  </si>
  <si>
    <t>tarik Tunai untuk kas operasional</t>
  </si>
  <si>
    <t>KK-260819-001</t>
  </si>
  <si>
    <t>Pembelian bunga calla lilly</t>
  </si>
  <si>
    <t>BB-260819-001</t>
  </si>
  <si>
    <t>Pembelian Bunga di Bunga Bromo Nongkojajar</t>
  </si>
  <si>
    <t>Talangan Ongkir DMK Cargo tanggal 18</t>
  </si>
  <si>
    <t>Pembayaran penjualan tanggal 18</t>
  </si>
  <si>
    <t>Pengembalian talangan ongkir DMK Cargo tgl 18</t>
  </si>
  <si>
    <t>Kasih pengamen</t>
  </si>
  <si>
    <t>kasih pengamen</t>
  </si>
  <si>
    <t>KK-260820-001</t>
  </si>
  <si>
    <t>Pembelian bunga di Kodoik Florist</t>
  </si>
  <si>
    <t>KK-260820-002</t>
  </si>
  <si>
    <t>Pembelian bunga sedap malam</t>
  </si>
  <si>
    <t>KK-260820-003</t>
  </si>
  <si>
    <t>Pembelian plastik lilin 1 pack</t>
  </si>
  <si>
    <t>BB-260820-001</t>
  </si>
  <si>
    <t>Pendapatan bunga bank dari Greenhouse</t>
  </si>
  <si>
    <t>BB-260820-002</t>
  </si>
  <si>
    <t>Pembelian bunga di Vendor - Bu Jum, Hortensia</t>
  </si>
  <si>
    <t>Talangan ongkir travel - Pak Hari Truck</t>
  </si>
  <si>
    <t>Pembayaran Ojek - Mas Pradan - Ambil Bunga</t>
  </si>
  <si>
    <t>BB-260820-003</t>
  </si>
  <si>
    <t>INV-2008268841</t>
  </si>
  <si>
    <t>INV-2008268259</t>
  </si>
  <si>
    <t>Penjualan Bunga ke Lala Zfr</t>
  </si>
  <si>
    <t>INV-2008265644</t>
  </si>
  <si>
    <t>INV-2008260326</t>
  </si>
  <si>
    <t>INV-2008261761</t>
  </si>
  <si>
    <t>Penjualan Bunga ke Sarieta</t>
  </si>
  <si>
    <t>Abumen Aster - bibit</t>
  </si>
  <si>
    <t>Talangan ongkir DMK Cargo tanggal 20</t>
  </si>
  <si>
    <t>BB-260821-001</t>
  </si>
  <si>
    <t>KK-260821-003</t>
  </si>
  <si>
    <t>Pembelian Buku F4 untuk accounting</t>
  </si>
  <si>
    <t>KK-260821-001</t>
  </si>
  <si>
    <t>Pembelian Karet dan Plastik untuk packing</t>
  </si>
  <si>
    <t>Pembayaran parkir di toko bunder</t>
  </si>
  <si>
    <t>KK-260821-002</t>
  </si>
  <si>
    <t>Pembelian P3K dan Obat-obatan</t>
  </si>
  <si>
    <t>Talangan ongkir travel, pak joko 75k, pak ardi 100k</t>
  </si>
  <si>
    <t>Pindah Bank - setor tunai</t>
  </si>
  <si>
    <t>Mas Bintang pinjam uang</t>
  </si>
  <si>
    <t>KK-260821-004</t>
  </si>
  <si>
    <t>KK-260821-005</t>
  </si>
  <si>
    <t>Refund ke Tiara</t>
  </si>
  <si>
    <t>INV-2108263465</t>
  </si>
  <si>
    <t>Penjualan Bunga ke Nuriva</t>
  </si>
  <si>
    <t>INV-2108268538</t>
  </si>
  <si>
    <t>Penjualan Bunga ke Mba Puji</t>
  </si>
  <si>
    <t>INV-2108264347</t>
  </si>
  <si>
    <t>INV-2108262802</t>
  </si>
  <si>
    <t>Pengembalian talangan ongkir DMK dan travel tgl 20</t>
  </si>
  <si>
    <t>Pembayaran penjualan tanggal 20</t>
  </si>
  <si>
    <t>Talangan ongkir DMK Cargo tanggal 21</t>
  </si>
  <si>
    <t>Pembayaran Gaji Mas Refan</t>
  </si>
  <si>
    <t>Pengembalian talangan ongkir DMK tgl 21</t>
  </si>
  <si>
    <t>Pembayaran penjualan tanggal 21</t>
  </si>
  <si>
    <t>Talangan Ongkir DMK Cargo tanggal 22</t>
  </si>
  <si>
    <t>INV-2208263848</t>
  </si>
  <si>
    <t>Penjualan Bunga ke Aziza</t>
  </si>
  <si>
    <t>PV-012</t>
  </si>
  <si>
    <t>Pembayaran talangan ongkir DMK tanggal 22</t>
  </si>
  <si>
    <t>Pembayaran Penjualan tanggal 22</t>
  </si>
  <si>
    <t>KK-260824-001</t>
  </si>
  <si>
    <t>Pembelian bunga di atha Flora</t>
  </si>
  <si>
    <t>Talangan ongkir travel - Pak Joko</t>
  </si>
  <si>
    <t>Pembelian Bunga Cemara Wangi dan Andong</t>
  </si>
  <si>
    <t>KK-260824-002</t>
  </si>
  <si>
    <t>Pembelian Bunga dan Oasis</t>
  </si>
  <si>
    <t>BK-260824-001</t>
  </si>
  <si>
    <t>Pembayaran bunga di WKF tanggal 14 dan tanggal 20</t>
  </si>
  <si>
    <t>BB-260824-001</t>
  </si>
  <si>
    <t>INV-2408268051</t>
  </si>
  <si>
    <t>INV-2408267873</t>
  </si>
  <si>
    <t>Penjualan Bunga ke Pak Lian</t>
  </si>
  <si>
    <t>INV-2408266390</t>
  </si>
  <si>
    <t>Talangan Ongkir DMK Cargo tanggal 24</t>
  </si>
  <si>
    <t>Pembayaran Penjualan tanggal 24</t>
  </si>
  <si>
    <t>Pembayaran talangan Ongkir tanggal 24</t>
  </si>
  <si>
    <t>KK-260825-001</t>
  </si>
  <si>
    <t>Isi ulang air galon 8k, tambal ban 15k</t>
  </si>
  <si>
    <t>Pembelian Bunga Hortensia - Mas Arip</t>
  </si>
  <si>
    <t>Bibit di Om Toha - Greenhouse belakang</t>
  </si>
  <si>
    <t>Pemberian Uang ganti bensin Melisa</t>
  </si>
  <si>
    <t>KK-260826-001</t>
  </si>
  <si>
    <t>Beli Kalkulator dan pena</t>
  </si>
  <si>
    <t>KK-260826-002</t>
  </si>
  <si>
    <t>INV-2608263063</t>
  </si>
  <si>
    <t>Talangan pembayaran ongkir DMK Cargo tgl 26</t>
  </si>
  <si>
    <t>BB-260827-001</t>
  </si>
  <si>
    <t>KK-260827-001</t>
  </si>
  <si>
    <t>KK-260827-002</t>
  </si>
  <si>
    <t>KK-260827-003</t>
  </si>
  <si>
    <t>KK-260827-004</t>
  </si>
  <si>
    <t>BK-260827-001</t>
  </si>
  <si>
    <t>Pembelian Bunga di Vendor - Bu Neneng</t>
  </si>
  <si>
    <t>Pengembalian talangan ongkir DMK Cargo tanggal 26</t>
  </si>
  <si>
    <t>Pembayaran Penjualan tanggal 26</t>
  </si>
  <si>
    <t>Pembayaran Penjualan Sarieta tanggal 20</t>
  </si>
  <si>
    <t>Tip dari Sarieta / bonus</t>
  </si>
  <si>
    <t>INV-2708262925</t>
  </si>
  <si>
    <t>INV-2708266886</t>
  </si>
  <si>
    <t>INV-2708260526</t>
  </si>
  <si>
    <t>Penjualan bunga ke Regina</t>
  </si>
  <si>
    <t>Talangan ongkir DMK Cargo tgl 27</t>
  </si>
  <si>
    <t>Pembayaran penjualan tanggal 27</t>
  </si>
  <si>
    <t>Talangan ongkir ojek - singosari</t>
  </si>
  <si>
    <t>Pembayaran WIFI Perusahaan</t>
  </si>
  <si>
    <t>Pembayaran pembelian bunga di Bunga Bromo tanggal 20</t>
  </si>
  <si>
    <t>Admin TF Bank</t>
  </si>
  <si>
    <t>Abumen Aster - bibit 1000</t>
  </si>
  <si>
    <t>INV-2808269969</t>
  </si>
  <si>
    <t>Penjualan Bunge ke Difams</t>
  </si>
  <si>
    <t>INV-2808265123</t>
  </si>
  <si>
    <t>Talangan ongkir DMK Cargo tanggal 28</t>
  </si>
  <si>
    <t>Pembayaran talangan ongkir tanggal 28</t>
  </si>
  <si>
    <t>Pembayaran penjualan tanggal 28</t>
  </si>
  <si>
    <t>Jajan Karyawan</t>
  </si>
  <si>
    <t>Talangan Ongkir Travel Pak Joko</t>
  </si>
  <si>
    <t>Gaji Karyawan - Mba Dinda</t>
  </si>
  <si>
    <t>Potongan Kasbon - Mba Dinda</t>
  </si>
  <si>
    <t>Pesangon Karyawan - Mba Dinda</t>
  </si>
  <si>
    <t>INV-2908260327</t>
  </si>
  <si>
    <t>INV-2908266469</t>
  </si>
  <si>
    <t>Pembayaran Penjualan tanggal 29</t>
  </si>
  <si>
    <t>Talangan ongkir DMK Cargo tanggal 29</t>
  </si>
  <si>
    <t>Markup Ongkir travel 5k</t>
  </si>
  <si>
    <t>PV-013</t>
  </si>
  <si>
    <t>Pengembalian talangan ongkir tgl 28 - difams</t>
  </si>
  <si>
    <t>BB-260829-001</t>
  </si>
  <si>
    <t>Pembayaran talangan ongkir DMK tanggal 29</t>
  </si>
  <si>
    <t>KK-260831-002</t>
  </si>
  <si>
    <t>KK-260831-001</t>
  </si>
  <si>
    <t>Pembelian bunga di Atha Flora</t>
  </si>
  <si>
    <t>BB-260831-001</t>
  </si>
  <si>
    <t>Pembelian bunga di vendor - Bu Yul</t>
  </si>
  <si>
    <t>Pembayaran Bunga di Bunga Bromo tanggal 19</t>
  </si>
  <si>
    <t>Pembelian Bunga di ProFlorist</t>
  </si>
  <si>
    <t>BK-260831-001</t>
  </si>
  <si>
    <t>Pembelian triplek dan Besi</t>
  </si>
  <si>
    <t>Pembelian Bunga Pikok</t>
  </si>
  <si>
    <t>Pembayaran Gaji Karyawan - Oilivia</t>
  </si>
  <si>
    <t>Pembayaran Gaji Karyawan - Mas Revandika</t>
  </si>
  <si>
    <t>Pembyaran Gaji Karyawan - Mas Sandi</t>
  </si>
  <si>
    <t>Kerugian Bunga</t>
  </si>
  <si>
    <t>Penyesuaian perlengkapan terpakai</t>
  </si>
  <si>
    <t>Penyusutan Peralatan</t>
  </si>
  <si>
    <t>Kompensasi Piutang dan Hutang - Bu Yul</t>
  </si>
  <si>
    <t>Pelunasan Sisa Hutang di bu Yul</t>
  </si>
  <si>
    <t>Ganti invoice christ - garbera kurang 15k Via</t>
  </si>
  <si>
    <t>Persediaan Bunga Awal Periode</t>
  </si>
  <si>
    <t>Pengembalian dana abumen aster Pak Kus tanggal 20</t>
  </si>
  <si>
    <t>Pembayaran Gaji Mas Bintang</t>
  </si>
  <si>
    <t>Pembayaran Gaji Melisa harian</t>
  </si>
  <si>
    <t>Pembayaran Gaji Mas Sandi Tanggal 1</t>
  </si>
  <si>
    <t>Pelunasan piutang Mba Eka tanggal 06</t>
  </si>
  <si>
    <t>Pelunasan Penjualan tanggal 31</t>
  </si>
  <si>
    <t>Pengembalian dana bibit om toha</t>
  </si>
  <si>
    <t>Pelunasan pembayaran penjualan bunga Mas Abizar tgl 29</t>
  </si>
  <si>
    <t>Pengembalian uang paket dan pinjaman Mas Bintang</t>
  </si>
  <si>
    <t>Pembayaran Bunga di kebun belakang</t>
  </si>
  <si>
    <t>Uang Makan Karyawan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</si>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</sst>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dd/mm/yyyy"/>
    <numFmt numFmtId="166" formatCode="mmmm yyyy"/>
  </numFmts>
  <fonts count="37">
    <font>
      <sz val="11.0"/>
      <color theme="1"/>
      <name val="Calibri"/>
      <scheme val="minor"/>
    </font>
    <font>
      <b/>
      <sz val="14.0"/>
      <color rgb="FF1F4E78"/>
      <name val="Times New Roman"/>
    </font>
    <font>
      <b/>
      <sz val="16.0"/>
      <color rgb="FFFFFFFF"/>
      <name val="Arial"/>
    </font>
    <font>
      <sz val="14.0"/>
      <color theme="1"/>
      <name val="Times New Roman"/>
    </font>
    <font>
      <b/>
      <sz val="14.0"/>
      <color rgb="FF1F4E78"/>
      <name val="Arial"/>
    </font>
    <font/>
    <font>
      <color theme="1"/>
      <name val="Times New Roman"/>
    </font>
    <font>
      <i/>
      <sz val="14.0"/>
      <color rgb="FF595959"/>
      <name val="Times New Roman"/>
    </font>
    <font>
      <i/>
      <sz val="10.0"/>
      <color rgb="FF595959"/>
      <name val="Arial"/>
    </font>
    <font>
      <b/>
      <sz val="13.0"/>
      <color rgb="FF1F4E78"/>
      <name val="Arial"/>
    </font>
    <font>
      <b/>
      <sz val="11.0"/>
      <color rgb="FF1F4E78"/>
      <name val="Arial"/>
    </font>
    <font>
      <color theme="1"/>
      <name val="Calibri"/>
      <scheme val="minor"/>
    </font>
    <font>
      <b/>
      <sz val="10.0"/>
      <color rgb="FFFFFFFF"/>
      <name val="Arial"/>
    </font>
    <font>
      <color rgb="FFFFFFFF"/>
      <name val="Times New Roman"/>
    </font>
    <font>
      <b/>
      <color rgb="FFFFFFFF"/>
      <name val="Times New Roman"/>
    </font>
    <font>
      <b/>
      <sz val="10.0"/>
      <color rgb="FFFFFFFF"/>
      <name val="Times New Roman"/>
    </font>
    <font>
      <sz val="10.0"/>
      <color rgb="FF0000FF"/>
      <name val="Arial"/>
    </font>
    <font>
      <sz val="10.0"/>
      <color rgb="FF000000"/>
      <name val="Arial"/>
    </font>
    <font>
      <color rgb="FF333333"/>
      <name val="Times New Roman"/>
    </font>
    <font>
      <sz val="10.0"/>
      <color theme="1"/>
      <name val="Times New Roman"/>
    </font>
    <font>
      <sz val="10.0"/>
      <color rgb="FF0000FF"/>
      <name val="Times New Roman"/>
    </font>
    <font>
      <sz val="10.0"/>
      <color rgb="FF008000"/>
      <name val="Arial"/>
    </font>
    <font>
      <i/>
      <sz val="9.0"/>
      <color rgb="FF7F7F7F"/>
      <name val="Arial"/>
    </font>
    <font>
      <i/>
      <sz val="10.0"/>
      <color rgb="FF7F7F7F"/>
      <name val="Times New Roman"/>
    </font>
    <font>
      <b/>
      <sz val="18.0"/>
      <color rgb="FF1F4E78"/>
      <name val="Times New Roman"/>
    </font>
    <font>
      <b/>
      <sz val="11.0"/>
      <color rgb="FF1F4E78"/>
      <name val="Times New Roman"/>
    </font>
    <font>
      <b/>
      <sz val="10.0"/>
      <color rgb="FF000000"/>
      <name val="Times New Roman"/>
    </font>
    <font>
      <sz val="10.0"/>
      <color rgb="FF008000"/>
      <name val="Times New Roman"/>
    </font>
    <font>
      <sz val="11.0"/>
      <color theme="1"/>
      <name val="Times New Roman"/>
    </font>
    <font>
      <i/>
      <sz val="9.0"/>
      <color rgb="FF7F7F7F"/>
      <name val="Times New Roman"/>
    </font>
    <font>
      <i/>
      <sz val="10.0"/>
      <color rgb="FF595959"/>
      <name val="Times New Roman"/>
    </font>
    <font>
      <sz val="10.0"/>
      <color rgb="FF000000"/>
      <name val="Times New Roman"/>
    </font>
    <font>
      <b/>
      <sz val="10.0"/>
      <color rgb="FF008000"/>
      <name val="Times New Roman"/>
    </font>
    <font>
      <b/>
      <sz val="11.0"/>
      <color rgb="FF000000"/>
      <name val="Times New Roman"/>
    </font>
    <font>
      <color rgb="FF000000"/>
      <name val="Times New Roman"/>
    </font>
    <font>
      <b/>
      <color rgb="FF000000"/>
      <name val="Times New Roman"/>
    </font>
    <font>
      <b/>
      <sz val="10.0"/>
      <color rgb="FF1F4E78"/>
      <name val="Times New Roman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4" numFmtId="49" xfId="0" applyAlignment="1" applyFont="1" applyNumberFormat="1">
      <alignment horizontal="center" readingOrder="0" shrinkToFit="0" vertical="bottom" wrapText="0"/>
    </xf>
    <xf borderId="2" fillId="0" fontId="5" numFmtId="0" xfId="0" applyBorder="1" applyFont="1"/>
    <xf borderId="0" fillId="0" fontId="6" numFmtId="0" xfId="0" applyFont="1"/>
    <xf borderId="3" fillId="0" fontId="5" numFmtId="0" xfId="0" applyBorder="1" applyFont="1"/>
    <xf borderId="0" fillId="0" fontId="7" numFmtId="0" xfId="0" applyAlignment="1" applyFont="1">
      <alignment horizontal="center" readingOrder="0" shrinkToFit="0" vertical="bottom" wrapText="0"/>
    </xf>
    <xf borderId="0" fillId="0" fontId="8" numFmtId="49" xfId="0" applyAlignment="1" applyFont="1" applyNumberFormat="1">
      <alignment horizontal="center" shrinkToFit="0" vertical="bottom" wrapText="0"/>
    </xf>
    <xf borderId="0" fillId="0" fontId="6" numFmtId="3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0" numFmtId="49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11" numFmtId="49" xfId="0" applyAlignment="1" applyFont="1" applyNumberFormat="1">
      <alignment horizontal="center"/>
    </xf>
    <xf borderId="4" fillId="3" fontId="12" numFmtId="0" xfId="0" applyAlignment="1" applyBorder="1" applyFill="1" applyFont="1">
      <alignment horizontal="center" shrinkToFit="0" vertical="center" wrapText="1"/>
    </xf>
    <xf borderId="0" fillId="0" fontId="3" numFmtId="49" xfId="0" applyAlignment="1" applyFont="1" applyNumberFormat="1">
      <alignment horizontal="center"/>
    </xf>
    <xf borderId="4" fillId="3" fontId="12" numFmtId="49" xfId="0" applyAlignment="1" applyBorder="1" applyFill="1" applyFont="1" applyNumberFormat="1">
      <alignment horizontal="center" shrinkToFit="0" vertical="center" wrapText="1"/>
    </xf>
    <xf borderId="0" fillId="4" fontId="13" numFmtId="0" xfId="0" applyAlignment="1" applyFill="1" applyFont="1">
      <alignment horizontal="center" readingOrder="0" vertical="bottom"/>
    </xf>
    <xf borderId="0" fillId="0" fontId="3" numFmtId="164" xfId="0" applyAlignment="1" applyFont="1" applyNumberFormat="1">
      <alignment horizontal="center"/>
    </xf>
    <xf borderId="4" fillId="5" fontId="12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ill="1" applyFont="1">
      <alignment horizontal="center" vertical="top"/>
    </xf>
    <xf borderId="4" fillId="3" fontId="15" numFmtId="0" xfId="0" applyAlignment="1" applyBorder="1" applyFill="1" applyFont="1">
      <alignment horizontal="center" shrinkToFit="0" vertical="center" wrapText="1"/>
    </xf>
    <xf borderId="4" fillId="7" fontId="16" numFmtId="49" xfId="0" applyAlignment="1" applyBorder="1" applyFill="1" applyFont="1" applyNumberFormat="1">
      <alignment horizontal="center" shrinkToFit="0" vertical="center" wrapText="0"/>
    </xf>
    <xf borderId="5" fillId="6" fontId="14" numFmtId="3" xfId="0" applyAlignment="1" applyBorder="1" applyFill="1" applyFont="1" applyNumberFormat="1">
      <alignment horizontal="center" vertical="top"/>
    </xf>
    <xf borderId="4" fillId="0" fontId="4" numFmtId="164" xfId="0" applyAlignment="1" applyBorder="1" applyFont="1" applyNumberFormat="1">
      <alignment horizontal="center" shrinkToFit="0" vertical="bottom" wrapText="0"/>
    </xf>
    <xf borderId="4" fillId="3" fontId="15" numFmtId="0" xfId="0" applyAlignment="1" applyBorder="1" applyFill="1" applyFont="1">
      <alignment horizontal="center" readingOrder="0" shrinkToFit="0" vertical="center" wrapText="1"/>
    </xf>
    <xf borderId="5" fillId="6" fontId="14" numFmtId="3" xfId="0" applyAlignment="1" applyBorder="1" applyFill="1" applyFont="1" applyNumberFormat="1">
      <alignment horizontal="center" readingOrder="0" vertical="top"/>
    </xf>
    <xf borderId="4" fillId="3" fontId="15" numFmtId="49" xfId="0" applyAlignment="1" applyBorder="1" applyFill="1" applyFont="1" applyNumberFormat="1">
      <alignment horizontal="center" shrinkToFit="0" vertical="center" wrapText="1"/>
    </xf>
    <xf borderId="4" fillId="7" fontId="16" numFmtId="0" xfId="0" applyAlignment="1" applyBorder="1" applyFill="1" applyFont="1">
      <alignment shrinkToFit="0" vertical="center" wrapText="0"/>
    </xf>
    <xf borderId="4" fillId="3" fontId="15" numFmtId="164" xfId="0" applyAlignment="1" applyBorder="1" applyFill="1" applyFont="1" applyNumberFormat="1">
      <alignment horizontal="center" shrinkToFit="0" vertical="center" wrapText="1"/>
    </xf>
    <xf borderId="4" fillId="7" fontId="17" numFmtId="0" xfId="0" applyAlignment="1" applyBorder="1" applyFill="1" applyFont="1">
      <alignment shrinkToFit="0" vertical="center" wrapText="0"/>
    </xf>
    <xf borderId="5" fillId="0" fontId="18" numFmtId="0" xfId="0" applyAlignment="1" applyBorder="1" applyFont="1">
      <alignment vertical="top"/>
    </xf>
    <xf borderId="0" fillId="0" fontId="19" numFmtId="0" xfId="0" applyFont="1"/>
    <xf borderId="5" fillId="0" fontId="18" numFmtId="0" xfId="0" applyAlignment="1" applyBorder="1" applyFont="1">
      <alignment readingOrder="0" vertical="top"/>
    </xf>
    <xf borderId="6" fillId="3" fontId="15" numFmtId="0" xfId="0" applyAlignment="1" applyBorder="1" applyFill="1" applyFont="1">
      <alignment horizontal="center" shrinkToFit="0" vertical="bottom" wrapText="0"/>
    </xf>
    <xf borderId="5" fillId="0" fontId="18" numFmtId="3" xfId="0" applyAlignment="1" applyBorder="1" applyFont="1" applyNumberFormat="1">
      <alignment horizontal="right" vertical="top"/>
    </xf>
    <xf borderId="0" fillId="0" fontId="19" numFmtId="0" xfId="0" applyAlignment="1" applyFont="1">
      <alignment readingOrder="0"/>
    </xf>
    <xf borderId="4" fillId="7" fontId="16" numFmtId="0" xfId="0" applyAlignment="1" applyBorder="1" applyFill="1" applyFont="1">
      <alignment readingOrder="0" shrinkToFit="0" vertical="center" wrapText="0"/>
    </xf>
    <xf borderId="0" fillId="0" fontId="10" numFmtId="0" xfId="0" applyAlignment="1" applyFont="1">
      <alignment shrinkToFit="0" vertical="bottom" wrapText="0"/>
    </xf>
    <xf borderId="4" fillId="8" fontId="20" numFmtId="165" xfId="0" applyAlignment="1" applyBorder="1" applyFill="1" applyFont="1" applyNumberFormat="1">
      <alignment readingOrder="0" shrinkToFit="0" vertical="center" wrapText="0"/>
    </xf>
    <xf borderId="4" fillId="0" fontId="17" numFmtId="0" xfId="0" applyAlignment="1" applyBorder="1" applyFont="1">
      <alignment shrinkToFit="0" vertical="bottom" wrapText="0"/>
    </xf>
    <xf borderId="4" fillId="8" fontId="20" numFmtId="0" xfId="0" applyAlignment="1" applyBorder="1" applyFill="1" applyFont="1">
      <alignment shrinkToFit="0" vertical="center" wrapText="0"/>
    </xf>
    <xf borderId="4" fillId="7" fontId="16" numFmtId="49" xfId="0" applyAlignment="1" applyBorder="1" applyFill="1" applyFont="1" applyNumberFormat="1">
      <alignment horizontal="center" readingOrder="0" shrinkToFit="0" vertical="center" wrapText="0"/>
    </xf>
    <xf borderId="4" fillId="8" fontId="20" numFmtId="0" xfId="0" applyAlignment="1" applyBorder="1" applyFill="1" applyFont="1">
      <alignment readingOrder="0" shrinkToFit="0" vertical="center" wrapText="1"/>
    </xf>
    <xf borderId="4" fillId="0" fontId="21" numFmtId="164" xfId="0" applyAlignment="1" applyBorder="1" applyFont="1" applyNumberFormat="1">
      <alignment shrinkToFit="0" vertical="bottom" wrapText="0"/>
    </xf>
    <xf borderId="4" fillId="7" fontId="17" numFmtId="0" xfId="0" applyAlignment="1" applyBorder="1" applyFill="1" applyFont="1">
      <alignment readingOrder="0" shrinkToFit="0" vertical="center" wrapText="0"/>
    </xf>
    <xf borderId="5" fillId="0" fontId="18" numFmtId="166" xfId="0" applyAlignment="1" applyBorder="1" applyFont="1" applyNumberFormat="1">
      <alignment readingOrder="0" vertical="top"/>
    </xf>
    <xf borderId="0" fillId="0" fontId="22" numFmtId="0" xfId="0" applyAlignment="1" applyFont="1">
      <alignment shrinkToFit="0" vertical="bottom" wrapText="0"/>
    </xf>
    <xf borderId="4" fillId="8" fontId="20" numFmtId="49" xfId="0" applyAlignment="1" applyBorder="1" applyFill="1" applyFont="1" applyNumberFormat="1">
      <alignment readingOrder="0" shrinkToFit="0" vertical="center" wrapText="0"/>
    </xf>
    <xf borderId="7" fillId="7" fontId="16" numFmtId="49" xfId="0" applyAlignment="1" applyBorder="1" applyFill="1" applyFont="1" applyNumberFormat="1">
      <alignment horizontal="center" shrinkToFit="0" vertical="center" wrapText="0"/>
    </xf>
    <xf borderId="7" fillId="7" fontId="16" numFmtId="0" xfId="0" applyAlignment="1" applyBorder="1" applyFill="1" applyFont="1">
      <alignment shrinkToFit="0" vertical="center" wrapText="0"/>
    </xf>
    <xf borderId="7" fillId="7" fontId="17" numFmtId="0" xfId="0" applyAlignment="1" applyBorder="1" applyFill="1" applyFont="1">
      <alignment shrinkToFit="0" vertical="center" wrapText="0"/>
    </xf>
    <xf borderId="8" fillId="7" fontId="16" numFmtId="49" xfId="0" applyAlignment="1" applyBorder="1" applyFill="1" applyFont="1" applyNumberFormat="1">
      <alignment horizontal="center" readingOrder="0" shrinkToFit="0" vertical="center" wrapText="0"/>
    </xf>
    <xf borderId="8" fillId="7" fontId="16" numFmtId="0" xfId="0" applyAlignment="1" applyBorder="1" applyFill="1" applyFont="1">
      <alignment readingOrder="0" shrinkToFit="0" vertical="center" wrapText="0"/>
    </xf>
    <xf borderId="5" fillId="0" fontId="6" numFmtId="0" xfId="0" applyAlignment="1" applyBorder="1" applyFont="1">
      <alignment readingOrder="0"/>
    </xf>
    <xf borderId="8" fillId="7" fontId="17" numFmtId="0" xfId="0" applyAlignment="1" applyBorder="1" applyFill="1" applyFont="1">
      <alignment readingOrder="0" shrinkToFit="0" vertical="center" wrapText="0"/>
    </xf>
    <xf borderId="5" fillId="0" fontId="6" numFmtId="3" xfId="0" applyAlignment="1" applyBorder="1" applyFont="1" applyNumberFormat="1">
      <alignment readingOrder="0"/>
    </xf>
    <xf borderId="9" fillId="7" fontId="16" numFmtId="49" xfId="0" applyAlignment="1" applyBorder="1" applyFill="1" applyFont="1" applyNumberFormat="1">
      <alignment horizontal="center" readingOrder="0" shrinkToFit="0" vertical="center" wrapText="0"/>
    </xf>
    <xf borderId="4" fillId="8" fontId="20" numFmtId="164" xfId="0" applyAlignment="1" applyBorder="1" applyFill="1" applyFont="1" applyNumberFormat="1">
      <alignment readingOrder="0" shrinkToFit="0" vertical="center" wrapText="0"/>
    </xf>
    <xf borderId="9" fillId="7" fontId="16" numFmtId="0" xfId="0" applyAlignment="1" applyBorder="1" applyFill="1" applyFont="1">
      <alignment readingOrder="0" shrinkToFit="0" vertical="center" wrapText="0"/>
    </xf>
    <xf borderId="4" fillId="8" fontId="20" numFmtId="164" xfId="0" applyAlignment="1" applyBorder="1" applyFill="1" applyFont="1" applyNumberFormat="1">
      <alignment shrinkToFit="0" vertical="center" wrapText="0"/>
    </xf>
    <xf borderId="9" fillId="7" fontId="17" numFmtId="0" xfId="0" applyAlignment="1" applyBorder="1" applyFill="1" applyFont="1">
      <alignment readingOrder="0" shrinkToFit="0" vertical="center" wrapText="0"/>
    </xf>
    <xf borderId="5" fillId="0" fontId="6" numFmtId="166" xfId="0" applyAlignment="1" applyBorder="1" applyFont="1" applyNumberFormat="1">
      <alignment readingOrder="0"/>
    </xf>
    <xf borderId="10" fillId="7" fontId="16" numFmtId="49" xfId="0" applyAlignment="1" applyBorder="1" applyFill="1" applyFont="1" applyNumberFormat="1">
      <alignment horizontal="center" readingOrder="0" shrinkToFit="0" vertical="center" wrapText="0"/>
    </xf>
    <xf borderId="10" fillId="7" fontId="16" numFmtId="0" xfId="0" applyAlignment="1" applyBorder="1" applyFill="1" applyFont="1">
      <alignment readingOrder="0" shrinkToFit="0" vertical="center" wrapText="0"/>
    </xf>
    <xf borderId="10" fillId="7" fontId="17" numFmtId="0" xfId="0" applyAlignment="1" applyBorder="1" applyFill="1" applyFont="1">
      <alignment readingOrder="0" shrinkToFit="0" vertical="center" wrapText="0"/>
    </xf>
    <xf borderId="0" fillId="0" fontId="23" numFmtId="0" xfId="0" applyAlignment="1" applyFont="1">
      <alignment horizontal="center" shrinkToFit="0" vertical="bottom" wrapText="0"/>
    </xf>
    <xf borderId="0" fillId="0" fontId="22" numFmtId="49" xfId="0" applyAlignment="1" applyFont="1" applyNumberFormat="1">
      <alignment horizontal="center" shrinkToFit="0" vertical="bottom" wrapText="0"/>
    </xf>
    <xf borderId="5" fillId="0" fontId="6" numFmtId="3" xfId="0" applyBorder="1" applyFont="1" applyNumberFormat="1"/>
    <xf borderId="0" fillId="0" fontId="23" numFmtId="0" xfId="0" applyAlignment="1" applyFont="1">
      <alignment shrinkToFit="0" vertical="bottom" wrapText="0"/>
    </xf>
    <xf borderId="4" fillId="9" fontId="20" numFmtId="165" xfId="0" applyAlignment="1" applyBorder="1" applyFill="1" applyFont="1" applyNumberFormat="1">
      <alignment readingOrder="0" shrinkToFit="0" vertical="center" wrapText="0"/>
    </xf>
    <xf borderId="4" fillId="9" fontId="20" numFmtId="0" xfId="0" applyAlignment="1" applyBorder="1" applyFill="1" applyFont="1">
      <alignment shrinkToFit="0" vertical="center" wrapText="0"/>
    </xf>
    <xf borderId="4" fillId="9" fontId="20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/>
    </xf>
    <xf borderId="4" fillId="9" fontId="20" numFmtId="49" xfId="0" applyAlignment="1" applyBorder="1" applyFill="1" applyFont="1" applyNumberFormat="1">
      <alignment readingOrder="0" shrinkToFit="0" vertical="center" wrapText="0"/>
    </xf>
    <xf borderId="4" fillId="9" fontId="20" numFmtId="164" xfId="0" applyAlignment="1" applyBorder="1" applyFill="1" applyFont="1" applyNumberFormat="1">
      <alignment readingOrder="0" shrinkToFit="0" vertical="center" wrapText="0"/>
    </xf>
    <xf borderId="4" fillId="9" fontId="20" numFmtId="164" xfId="0" applyAlignment="1" applyBorder="1" applyFill="1" applyFont="1" applyNumberFormat="1">
      <alignment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26" numFmtId="0" xfId="0" applyAlignment="1" applyFont="1">
      <alignment horizontal="left" shrinkToFit="0" vertical="center" wrapText="0"/>
    </xf>
    <xf borderId="4" fillId="5" fontId="20" numFmtId="49" xfId="0" applyAlignment="1" applyBorder="1" applyFill="1" applyFont="1" applyNumberFormat="1">
      <alignment horizontal="center" readingOrder="0" shrinkToFit="0" vertical="center" wrapText="0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shrinkToFit="0" vertical="center" wrapText="0"/>
    </xf>
    <xf borderId="4" fillId="10" fontId="20" numFmtId="165" xfId="0" applyAlignment="1" applyBorder="1" applyFill="1" applyFont="1" applyNumberFormat="1">
      <alignment readingOrder="0" shrinkToFit="0" vertical="center" wrapText="0"/>
    </xf>
    <xf borderId="4" fillId="10" fontId="20" numFmtId="0" xfId="0" applyAlignment="1" applyBorder="1" applyFill="1" applyFont="1">
      <alignment shrinkToFit="0" vertical="center" wrapText="0"/>
    </xf>
    <xf borderId="0" fillId="0" fontId="26" numFmtId="164" xfId="0" applyAlignment="1" applyFont="1" applyNumberFormat="1">
      <alignment shrinkToFit="0" vertical="center" wrapText="0"/>
    </xf>
    <xf borderId="4" fillId="10" fontId="20" numFmtId="0" xfId="0" applyAlignment="1" applyBorder="1" applyFill="1" applyFont="1">
      <alignment readingOrder="0" shrinkToFit="0" vertical="center" wrapText="1"/>
    </xf>
    <xf borderId="4" fillId="10" fontId="20" numFmtId="49" xfId="0" applyAlignment="1" applyBorder="1" applyFill="1" applyFont="1" applyNumberFormat="1">
      <alignment readingOrder="0" shrinkToFit="0" vertical="center" wrapText="0"/>
    </xf>
    <xf borderId="6" fillId="3" fontId="15" numFmtId="0" xfId="0" applyAlignment="1" applyBorder="1" applyFill="1" applyFont="1">
      <alignment shrinkToFit="0" vertical="center" wrapText="0"/>
    </xf>
    <xf borderId="4" fillId="10" fontId="20" numFmtId="164" xfId="0" applyAlignment="1" applyBorder="1" applyFill="1" applyFont="1" applyNumberFormat="1">
      <alignment readingOrder="0" shrinkToFit="0" vertical="center" wrapText="0"/>
    </xf>
    <xf borderId="4" fillId="10" fontId="20" numFmtId="164" xfId="0" applyAlignment="1" applyBorder="1" applyFill="1" applyFont="1" applyNumberFormat="1">
      <alignment shrinkToFit="0" vertical="center" wrapText="0"/>
    </xf>
    <xf borderId="4" fillId="0" fontId="27" numFmtId="165" xfId="0" applyAlignment="1" applyBorder="1" applyFont="1" applyNumberFormat="1">
      <alignment horizontal="center" shrinkToFit="0" vertical="center" wrapText="0"/>
    </xf>
    <xf borderId="4" fillId="0" fontId="27" numFmtId="0" xfId="0" applyAlignment="1" applyBorder="1" applyFont="1">
      <alignment shrinkToFit="0" vertical="center" wrapText="1"/>
    </xf>
    <xf borderId="4" fillId="0" fontId="27" numFmtId="0" xfId="0" applyAlignment="1" applyBorder="1" applyFont="1">
      <alignment shrinkToFit="0" vertical="center" wrapText="0"/>
    </xf>
    <xf borderId="4" fillId="0" fontId="28" numFmtId="164" xfId="0" applyAlignment="1" applyBorder="1" applyFont="1" applyNumberFormat="1">
      <alignment shrinkToFit="0" vertical="center" wrapText="0"/>
    </xf>
    <xf borderId="4" fillId="0" fontId="26" numFmtId="164" xfId="0" applyAlignment="1" applyBorder="1" applyFont="1" applyNumberFormat="1">
      <alignment shrinkToFit="0" vertical="center" wrapText="0"/>
    </xf>
    <xf borderId="0" fillId="0" fontId="29" numFmtId="0" xfId="0" applyAlignment="1" applyFont="1">
      <alignment shrinkToFit="0" vertical="center" wrapText="0"/>
    </xf>
    <xf borderId="4" fillId="9" fontId="20" numFmtId="0" xfId="0" applyAlignment="1" applyBorder="1" applyFill="1" applyFont="1">
      <alignment readingOrder="0" shrinkToFit="0" vertical="center" wrapText="0"/>
    </xf>
    <xf borderId="4" fillId="8" fontId="20" numFmtId="0" xfId="0" applyAlignment="1" applyBorder="1" applyFill="1" applyFont="1">
      <alignment readingOrder="0" shrinkToFit="0" vertical="center" wrapText="0"/>
    </xf>
    <xf borderId="0" fillId="0" fontId="30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/>
    </xf>
    <xf borderId="4" fillId="5" fontId="31" numFmtId="0" xfId="0" applyAlignment="1" applyBorder="1" applyFill="1" applyFont="1">
      <alignment horizontal="center" shrinkToFit="0" vertical="bottom" wrapText="0"/>
    </xf>
    <xf borderId="4" fillId="5" fontId="31" numFmtId="0" xfId="0" applyAlignment="1" applyBorder="1" applyFill="1" applyFont="1">
      <alignment shrinkToFit="0" vertical="bottom" wrapText="0"/>
    </xf>
    <xf borderId="4" fillId="5" fontId="27" numFmtId="164" xfId="0" applyAlignment="1" applyBorder="1" applyFill="1" applyFont="1" applyNumberFormat="1">
      <alignment shrinkToFit="0" vertical="bottom" wrapText="0"/>
    </xf>
    <xf borderId="4" fillId="5" fontId="27" numFmtId="164" xfId="0" applyAlignment="1" applyBorder="1" applyFill="1" applyFont="1" applyNumberFormat="1">
      <alignment readingOrder="0" shrinkToFit="0" vertical="bottom" wrapText="0"/>
    </xf>
    <xf borderId="4" fillId="5" fontId="31" numFmtId="0" xfId="0" applyAlignment="1" applyBorder="1" applyFill="1" applyFont="1">
      <alignment readingOrder="0" shrinkToFit="0" vertical="bottom" wrapText="0"/>
    </xf>
    <xf borderId="7" fillId="8" fontId="20" numFmtId="165" xfId="0" applyAlignment="1" applyBorder="1" applyFill="1" applyFont="1" applyNumberFormat="1">
      <alignment readingOrder="0" shrinkToFit="0" vertical="center" wrapText="0"/>
    </xf>
    <xf borderId="7" fillId="8" fontId="20" numFmtId="0" xfId="0" applyAlignment="1" applyBorder="1" applyFill="1" applyFont="1">
      <alignment readingOrder="0" shrinkToFit="0" vertical="center" wrapText="0"/>
    </xf>
    <xf borderId="7" fillId="8" fontId="20" numFmtId="0" xfId="0" applyAlignment="1" applyBorder="1" applyFill="1" applyFont="1">
      <alignment readingOrder="0" shrinkToFit="0" vertical="center" wrapText="1"/>
    </xf>
    <xf borderId="7" fillId="8" fontId="20" numFmtId="49" xfId="0" applyAlignment="1" applyBorder="1" applyFill="1" applyFont="1" applyNumberFormat="1">
      <alignment readingOrder="0" shrinkToFit="0" vertical="center" wrapText="0"/>
    </xf>
    <xf borderId="7" fillId="8" fontId="20" numFmtId="164" xfId="0" applyAlignment="1" applyBorder="1" applyFill="1" applyFont="1" applyNumberFormat="1">
      <alignment readingOrder="0" shrinkToFit="0" vertical="center" wrapText="0"/>
    </xf>
    <xf borderId="7" fillId="8" fontId="20" numFmtId="164" xfId="0" applyAlignment="1" applyBorder="1" applyFill="1" applyFont="1" applyNumberFormat="1">
      <alignment shrinkToFit="0" vertical="center" wrapText="0"/>
    </xf>
    <xf borderId="8" fillId="8" fontId="20" numFmtId="165" xfId="0" applyAlignment="1" applyBorder="1" applyFill="1" applyFont="1" applyNumberFormat="1">
      <alignment readingOrder="0" shrinkToFit="0" vertical="center" wrapText="0"/>
    </xf>
    <xf borderId="8" fillId="8" fontId="20" numFmtId="0" xfId="0" applyAlignment="1" applyBorder="1" applyFill="1" applyFont="1">
      <alignment readingOrder="0" shrinkToFit="0" vertical="center" wrapText="0"/>
    </xf>
    <xf borderId="8" fillId="8" fontId="20" numFmtId="0" xfId="0" applyAlignment="1" applyBorder="1" applyFill="1" applyFont="1">
      <alignment readingOrder="0" shrinkToFit="0" vertical="center" wrapText="1"/>
    </xf>
    <xf borderId="8" fillId="8" fontId="20" numFmtId="49" xfId="0" applyAlignment="1" applyBorder="1" applyFill="1" applyFont="1" applyNumberFormat="1">
      <alignment readingOrder="0" shrinkToFit="0" vertical="center" wrapText="0"/>
    </xf>
    <xf borderId="8" fillId="8" fontId="20" numFmtId="164" xfId="0" applyAlignment="1" applyBorder="1" applyFill="1" applyFont="1" applyNumberFormat="1">
      <alignment readingOrder="0" shrinkToFit="0" vertical="center" wrapText="0"/>
    </xf>
    <xf borderId="8" fillId="9" fontId="20" numFmtId="165" xfId="0" applyAlignment="1" applyBorder="1" applyFill="1" applyFont="1" applyNumberFormat="1">
      <alignment readingOrder="0" shrinkToFit="0" vertical="center" wrapText="0"/>
    </xf>
    <xf borderId="8" fillId="9" fontId="20" numFmtId="0" xfId="0" applyAlignment="1" applyBorder="1" applyFill="1" applyFont="1">
      <alignment readingOrder="0" shrinkToFit="0" vertical="center" wrapText="0"/>
    </xf>
    <xf borderId="8" fillId="9" fontId="20" numFmtId="0" xfId="0" applyAlignment="1" applyBorder="1" applyFill="1" applyFont="1">
      <alignment readingOrder="0" shrinkToFit="0" vertical="center" wrapText="1"/>
    </xf>
    <xf borderId="8" fillId="9" fontId="20" numFmtId="49" xfId="0" applyAlignment="1" applyBorder="1" applyFill="1" applyFont="1" applyNumberFormat="1">
      <alignment readingOrder="0" shrinkToFit="0" vertical="center" wrapText="0"/>
    </xf>
    <xf borderId="8" fillId="9" fontId="20" numFmtId="164" xfId="0" applyAlignment="1" applyBorder="1" applyFill="1" applyFont="1" applyNumberFormat="1">
      <alignment readingOrder="0" shrinkToFit="0" vertical="center" wrapText="0"/>
    </xf>
    <xf borderId="8" fillId="9" fontId="20" numFmtId="164" xfId="0" applyAlignment="1" applyBorder="1" applyFill="1" applyFont="1" applyNumberFormat="1">
      <alignment shrinkToFit="0" vertical="center" wrapText="0"/>
    </xf>
    <xf borderId="8" fillId="8" fontId="20" numFmtId="164" xfId="0" applyAlignment="1" applyBorder="1" applyFill="1" applyFont="1" applyNumberFormat="1">
      <alignment shrinkToFit="0" vertical="center" wrapText="0"/>
    </xf>
    <xf borderId="8" fillId="9" fontId="20" numFmtId="0" xfId="0" applyAlignment="1" applyBorder="1" applyFill="1" applyFont="1">
      <alignment shrinkToFit="0" vertical="center" wrapText="0"/>
    </xf>
    <xf borderId="8" fillId="8" fontId="20" numFmtId="0" xfId="0" applyAlignment="1" applyBorder="1" applyFill="1" applyFont="1">
      <alignment shrinkToFit="0" vertical="center" wrapText="0"/>
    </xf>
    <xf borderId="4" fillId="5" fontId="31" numFmtId="0" xfId="0" applyAlignment="1" applyBorder="1" applyFill="1" applyFont="1">
      <alignment horizontal="center" readingOrder="0" shrinkToFit="0" vertical="bottom" wrapText="0"/>
    </xf>
    <xf borderId="7" fillId="5" fontId="31" numFmtId="0" xfId="0" applyAlignment="1" applyBorder="1" applyFill="1" applyFont="1">
      <alignment horizontal="center" readingOrder="0" shrinkToFit="0" vertical="bottom" wrapText="0"/>
    </xf>
    <xf borderId="7" fillId="5" fontId="31" numFmtId="0" xfId="0" applyAlignment="1" applyBorder="1" applyFill="1" applyFont="1">
      <alignment readingOrder="0" shrinkToFit="0" vertical="bottom" wrapText="0"/>
    </xf>
    <xf borderId="8" fillId="5" fontId="31" numFmtId="0" xfId="0" applyAlignment="1" applyBorder="1" applyFill="1" applyFont="1">
      <alignment horizontal="center" readingOrder="0" shrinkToFit="0" vertical="bottom" wrapText="0"/>
    </xf>
    <xf borderId="8" fillId="5" fontId="31" numFmtId="0" xfId="0" applyAlignment="1" applyBorder="1" applyFill="1" applyFont="1">
      <alignment readingOrder="0" shrinkToFit="0" vertical="bottom" wrapText="0"/>
    </xf>
    <xf borderId="11" fillId="5" fontId="27" numFmtId="164" xfId="0" applyAlignment="1" applyBorder="1" applyFill="1" applyFont="1" applyNumberFormat="1">
      <alignment shrinkToFit="0" vertical="bottom" wrapText="0"/>
    </xf>
    <xf borderId="9" fillId="5" fontId="31" numFmtId="0" xfId="0" applyAlignment="1" applyBorder="1" applyFill="1" applyFont="1">
      <alignment horizontal="center" readingOrder="0" shrinkToFit="0" vertical="bottom" wrapText="0"/>
    </xf>
    <xf borderId="9" fillId="5" fontId="31" numFmtId="0" xfId="0" applyAlignment="1" applyBorder="1" applyFill="1" applyFont="1">
      <alignment readingOrder="0" shrinkToFit="0" vertical="bottom" wrapText="0"/>
    </xf>
    <xf borderId="12" fillId="5" fontId="27" numFmtId="164" xfId="0" applyAlignment="1" applyBorder="1" applyFill="1" applyFont="1" applyNumberFormat="1">
      <alignment shrinkToFit="0" vertical="bottom" wrapText="0"/>
    </xf>
    <xf borderId="7" fillId="5" fontId="27" numFmtId="164" xfId="0" applyAlignment="1" applyBorder="1" applyFill="1" applyFont="1" applyNumberFormat="1">
      <alignment readingOrder="0" shrinkToFit="0" vertical="bottom" wrapText="0"/>
    </xf>
    <xf borderId="10" fillId="5" fontId="31" numFmtId="0" xfId="0" applyAlignment="1" applyBorder="1" applyFill="1" applyFont="1">
      <alignment horizontal="center" readingOrder="0" shrinkToFit="0" vertical="bottom" wrapText="0"/>
    </xf>
    <xf borderId="10" fillId="5" fontId="31" numFmtId="0" xfId="0" applyAlignment="1" applyBorder="1" applyFill="1" applyFont="1">
      <alignment readingOrder="0" shrinkToFit="0" vertical="bottom" wrapText="0"/>
    </xf>
    <xf borderId="10" fillId="5" fontId="27" numFmtId="164" xfId="0" applyAlignment="1" applyBorder="1" applyFill="1" applyFont="1" applyNumberFormat="1">
      <alignment shrinkToFit="0" vertical="bottom" wrapText="0"/>
    </xf>
    <xf borderId="10" fillId="5" fontId="27" numFmtId="164" xfId="0" applyAlignment="1" applyBorder="1" applyFill="1" applyFont="1" applyNumberFormat="1">
      <alignment readingOrder="0" shrinkToFit="0" vertical="bottom" wrapText="0"/>
    </xf>
    <xf borderId="0" fillId="5" fontId="31" numFmtId="0" xfId="0" applyAlignment="1" applyFill="1" applyFont="1">
      <alignment horizontal="center" readingOrder="0" shrinkToFit="0" vertical="bottom" wrapText="0"/>
    </xf>
    <xf borderId="0" fillId="5" fontId="31" numFmtId="0" xfId="0" applyAlignment="1" applyFill="1" applyFont="1">
      <alignment readingOrder="0"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6" numFmtId="0" xfId="0" applyAlignment="1" applyFont="1">
      <alignment shrinkToFit="0" vertical="bottom" wrapText="0"/>
    </xf>
    <xf borderId="0" fillId="0" fontId="26" numFmtId="164" xfId="0" applyAlignment="1" applyFont="1" applyNumberFormat="1">
      <alignment shrinkToFit="0" vertical="bottom" wrapText="0"/>
    </xf>
    <xf borderId="0" fillId="0" fontId="32" numFmtId="0" xfId="0" applyAlignment="1" applyFont="1">
      <alignment shrinkToFit="0" vertical="bottom" wrapText="0"/>
    </xf>
    <xf borderId="4" fillId="0" fontId="31" numFmtId="0" xfId="0" applyAlignment="1" applyBorder="1" applyFont="1">
      <alignment horizontal="center" shrinkToFit="0" vertical="bottom" wrapText="0"/>
    </xf>
    <xf borderId="4" fillId="0" fontId="31" numFmtId="0" xfId="0" applyAlignment="1" applyBorder="1" applyFont="1">
      <alignment shrinkToFit="0" vertical="bottom" wrapText="0"/>
    </xf>
    <xf borderId="4" fillId="11" fontId="20" numFmtId="164" xfId="0" applyAlignment="1" applyBorder="1" applyFill="1" applyFont="1" applyNumberFormat="1">
      <alignment readingOrder="0" shrinkToFit="0" vertical="bottom" wrapText="0"/>
    </xf>
    <xf borderId="4" fillId="0" fontId="28" numFmtId="0" xfId="0" applyAlignment="1" applyBorder="1" applyFont="1">
      <alignment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1" fillId="12" fontId="26" numFmtId="0" xfId="0" applyAlignment="1" applyBorder="1" applyFill="1" applyFont="1">
      <alignment horizontal="left" shrinkToFit="0" vertical="center" wrapText="0"/>
    </xf>
    <xf borderId="6" fillId="12" fontId="28" numFmtId="0" xfId="0" applyAlignment="1" applyBorder="1" applyFill="1" applyFont="1">
      <alignment shrinkToFit="0" vertical="bottom" wrapText="0"/>
    </xf>
    <xf borderId="6" fillId="5" fontId="28" numFmtId="0" xfId="0" applyAlignment="1" applyBorder="1" applyFill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0" fillId="0" fontId="27" numFmtId="164" xfId="0" applyAlignment="1" applyFont="1" applyNumberFormat="1">
      <alignment shrinkToFit="0" vertical="bottom" wrapText="0"/>
    </xf>
    <xf borderId="0" fillId="5" fontId="6" numFmtId="0" xfId="0" applyFill="1" applyFont="1"/>
    <xf borderId="13" fillId="0" fontId="26" numFmtId="164" xfId="0" applyAlignment="1" applyBorder="1" applyFont="1" applyNumberFormat="1">
      <alignment shrinkToFit="0" vertical="bottom" wrapText="0"/>
    </xf>
    <xf borderId="1" fillId="12" fontId="26" numFmtId="0" xfId="0" applyAlignment="1" applyBorder="1" applyFill="1" applyFont="1">
      <alignment shrinkToFit="0" vertical="center" wrapText="0"/>
    </xf>
    <xf borderId="0" fillId="0" fontId="31" numFmtId="0" xfId="0" applyAlignment="1" applyFont="1">
      <alignment readingOrder="0" shrinkToFit="0" vertical="bottom" wrapText="0"/>
    </xf>
    <xf borderId="14" fillId="12" fontId="26" numFmtId="164" xfId="0" applyAlignment="1" applyBorder="1" applyFill="1" applyFont="1" applyNumberFormat="1">
      <alignment shrinkToFit="0" vertical="bottom" wrapText="0"/>
    </xf>
    <xf borderId="1" fillId="8" fontId="26" numFmtId="0" xfId="0" applyAlignment="1" applyBorder="1" applyFill="1" applyFont="1">
      <alignment horizontal="left" readingOrder="0" shrinkToFit="0" vertical="center" wrapText="0"/>
    </xf>
    <xf borderId="14" fillId="8" fontId="33" numFmtId="164" xfId="0" applyAlignment="1" applyBorder="1" applyFill="1" applyFont="1" applyNumberFormat="1">
      <alignment shrinkToFit="0" vertical="bottom" wrapText="0"/>
    </xf>
    <xf borderId="0" fillId="12" fontId="26" numFmtId="0" xfId="0" applyAlignment="1" applyFill="1" applyFont="1">
      <alignment readingOrder="0" vertical="center"/>
    </xf>
    <xf borderId="0" fillId="12" fontId="34" numFmtId="0" xfId="0" applyFill="1" applyFont="1"/>
    <xf borderId="0" fillId="5" fontId="34" numFmtId="0" xfId="0" applyFill="1" applyFont="1"/>
    <xf borderId="0" fillId="0" fontId="6" numFmtId="164" xfId="0" applyFont="1" applyNumberFormat="1"/>
    <xf borderId="0" fillId="12" fontId="35" numFmtId="164" xfId="0" applyFill="1" applyFont="1" applyNumberFormat="1"/>
    <xf borderId="0" fillId="5" fontId="13" numFmtId="0" xfId="0" applyFill="1" applyFont="1"/>
    <xf borderId="0" fillId="0" fontId="1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shrinkToFit="0" vertical="center" wrapText="0"/>
    </xf>
    <xf borderId="6" fillId="12" fontId="26" numFmtId="0" xfId="0" applyAlignment="1" applyBorder="1" applyFill="1" applyFont="1">
      <alignment shrinkToFit="0" vertical="center" wrapText="0"/>
    </xf>
    <xf borderId="6" fillId="12" fontId="28" numFmtId="0" xfId="0" applyAlignment="1" applyBorder="1" applyFill="1" applyFont="1">
      <alignment shrinkToFit="0" vertical="center" wrapText="0"/>
    </xf>
    <xf borderId="6" fillId="5" fontId="28" numFmtId="0" xfId="0" applyAlignment="1" applyBorder="1" applyFill="1" applyFont="1">
      <alignment shrinkToFit="0" vertical="center" wrapText="0"/>
    </xf>
    <xf borderId="0" fillId="5" fontId="6" numFmtId="0" xfId="0" applyAlignment="1" applyFill="1" applyFont="1">
      <alignment vertical="center"/>
    </xf>
    <xf borderId="0" fillId="0" fontId="31" numFmtId="0" xfId="0" applyAlignment="1" applyFont="1">
      <alignment shrinkToFit="0" vertical="center" wrapText="0"/>
    </xf>
    <xf borderId="0" fillId="0" fontId="27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25" numFmtId="0" xfId="0" applyAlignment="1" applyFont="1">
      <alignment horizontal="center" shrinkToFit="0" vertical="center" wrapText="0"/>
    </xf>
    <xf borderId="0" fillId="12" fontId="26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vertical="center"/>
    </xf>
    <xf borderId="13" fillId="0" fontId="26" numFmtId="164" xfId="0" applyAlignment="1" applyBorder="1" applyFont="1" applyNumberFormat="1">
      <alignment shrinkToFit="0" vertical="center" wrapText="0"/>
    </xf>
    <xf borderId="14" fillId="12" fontId="26" numFmtId="164" xfId="0" applyAlignment="1" applyBorder="1" applyFill="1" applyFont="1" applyNumberFormat="1">
      <alignment shrinkToFit="0" vertical="center" wrapText="0"/>
    </xf>
    <xf borderId="0" fillId="0" fontId="6" numFmtId="4" xfId="0" applyAlignment="1" applyFont="1" applyNumberFormat="1">
      <alignment vertical="center"/>
    </xf>
    <xf borderId="0" fillId="0" fontId="32" numFmtId="0" xfId="0" applyAlignment="1" applyFont="1">
      <alignment shrinkToFit="0" vertical="center" wrapText="0"/>
    </xf>
    <xf borderId="0" fillId="12" fontId="26" numFmtId="0" xfId="0" applyAlignment="1" applyFill="1" applyFont="1">
      <alignment shrinkToFit="0" vertical="center" wrapText="0"/>
    </xf>
    <xf borderId="0" fillId="12" fontId="27" numFmtId="164" xfId="0" applyAlignment="1" applyFill="1" applyFont="1" applyNumberFormat="1">
      <alignment shrinkToFit="0" vertical="center" wrapText="0"/>
    </xf>
    <xf borderId="0" fillId="0" fontId="20" numFmtId="164" xfId="0" applyAlignment="1" applyFont="1" applyNumberFormat="1">
      <alignment readingOrder="0" shrinkToFit="0" vertical="center" wrapText="0"/>
    </xf>
    <xf borderId="0" fillId="2" fontId="26" numFmtId="0" xfId="0" applyAlignment="1" applyFill="1" applyFont="1">
      <alignment shrinkToFit="0" vertical="center" wrapText="0"/>
    </xf>
    <xf borderId="6" fillId="12" fontId="33" numFmtId="0" xfId="0" applyAlignment="1" applyBorder="1" applyFill="1" applyFont="1">
      <alignment shrinkToFit="0" vertical="center" wrapText="0"/>
    </xf>
    <xf borderId="14" fillId="12" fontId="33" numFmtId="164" xfId="0" applyAlignment="1" applyBorder="1" applyFill="1" applyFont="1" applyNumberFormat="1">
      <alignment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4" fillId="0" fontId="16" numFmtId="0" xfId="0" applyAlignment="1" applyBorder="1" applyFont="1">
      <alignment shrinkToFit="0" vertical="bottom" wrapText="0"/>
    </xf>
    <xf borderId="8" fillId="0" fontId="20" numFmtId="165" xfId="0" applyAlignment="1" applyBorder="1" applyFont="1" applyNumberFormat="1">
      <alignment readingOrder="0" shrinkToFit="0" vertical="center" wrapText="0"/>
    </xf>
    <xf borderId="8" fillId="0" fontId="20" numFmtId="0" xfId="0" applyAlignment="1" applyBorder="1" applyFont="1">
      <alignment readingOrder="0" shrinkToFit="0" vertical="center" wrapText="0"/>
    </xf>
    <xf borderId="8" fillId="0" fontId="20" numFmtId="0" xfId="0" applyAlignment="1" applyBorder="1" applyFont="1">
      <alignment readingOrder="0" shrinkToFit="0" vertical="center" wrapText="1"/>
    </xf>
    <xf borderId="8" fillId="0" fontId="20" numFmtId="49" xfId="0" applyAlignment="1" applyBorder="1" applyFont="1" applyNumberFormat="1">
      <alignment readingOrder="0" shrinkToFit="0" vertical="center" wrapText="0"/>
    </xf>
    <xf borderId="8" fillId="0" fontId="20" numFmtId="164" xfId="0" applyAlignment="1" applyBorder="1" applyFont="1" applyNumberFormat="1">
      <alignment readingOrder="0" shrinkToFit="0" vertical="center" wrapText="0"/>
    </xf>
    <xf borderId="8" fillId="0" fontId="20" numFmtId="164" xfId="0" applyAlignment="1" applyBorder="1" applyFont="1" applyNumberFormat="1">
      <alignment shrinkToFit="0" vertical="center" wrapText="0"/>
    </xf>
    <xf borderId="0" fillId="0" fontId="19" numFmtId="0" xfId="0" applyAlignment="1" applyFont="1">
      <alignment shrinkToFit="0" vertical="bottom" wrapText="0"/>
    </xf>
    <xf borderId="0" fillId="0" fontId="19" numFmtId="49" xfId="0" applyAlignment="1" applyFont="1" applyNumberFormat="1">
      <alignment shrinkToFit="0" vertical="bottom" wrapText="0"/>
    </xf>
    <xf borderId="0" fillId="0" fontId="19" numFmtId="49" xfId="0" applyFont="1" applyNumberFormat="1"/>
    <xf borderId="0" fillId="0" fontId="19" numFmtId="164" xfId="0" applyFont="1" applyNumberFormat="1"/>
    <xf borderId="0" fillId="0" fontId="1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2" width="22.0"/>
    <col customWidth="1" min="3" max="3" width="24.0"/>
    <col customWidth="1" min="4" max="4" width="20.0"/>
    <col customWidth="1" min="5" max="5" width="22.0"/>
    <col customWidth="1" min="6" max="26" width="8.71"/>
  </cols>
  <sheetData>
    <row r="1" ht="25.5" customHeight="1">
      <c r="A1" s="2" t="s">
        <v>0</v>
      </c>
      <c r="B1" s="5"/>
      <c r="C1" s="5"/>
      <c r="D1" s="5"/>
      <c r="E1" s="7"/>
    </row>
    <row r="2">
      <c r="A2" s="11" t="s">
        <v>1</v>
      </c>
    </row>
    <row r="3">
      <c r="A3" s="14" t="s">
        <v>2</v>
      </c>
    </row>
    <row r="5" ht="30.0" customHeight="1">
      <c r="A5" s="16" t="s">
        <v>5</v>
      </c>
      <c r="B5" s="16" t="s">
        <v>6</v>
      </c>
      <c r="C5" s="16" t="s">
        <v>9</v>
      </c>
      <c r="D5" s="16" t="s">
        <v>10</v>
      </c>
    </row>
    <row r="6" ht="30.0" customHeight="1">
      <c r="A6" s="26">
        <f>'Laba Rugi'!C8</f>
        <v>55819250</v>
      </c>
      <c r="B6" s="26">
        <f>('Laba Rugi'!C18+'Laba Rugi'!C33)</f>
        <v>56909911</v>
      </c>
      <c r="C6" s="26">
        <f>'Laba Rugi'!C42</f>
        <v>-632661</v>
      </c>
      <c r="D6" s="26">
        <f>'Neraca Saldo'!C6+'Neraca Saldo'!C7</f>
        <v>15641450</v>
      </c>
    </row>
    <row r="9">
      <c r="A9" s="40" t="s">
        <v>42</v>
      </c>
    </row>
    <row r="10">
      <c r="A10" s="42" t="s">
        <v>49</v>
      </c>
      <c r="B10" s="46">
        <f>'Laba Rugi'!C8</f>
        <v>55819250</v>
      </c>
    </row>
    <row r="11">
      <c r="A11" s="42" t="s">
        <v>56</v>
      </c>
      <c r="B11" s="46">
        <f>'Laba Rugi'!C18</f>
        <v>35664500</v>
      </c>
    </row>
    <row r="12">
      <c r="A12" s="42" t="s">
        <v>62</v>
      </c>
      <c r="B12" s="46">
        <f>'Laba Rugi'!C20</f>
        <v>20154750</v>
      </c>
    </row>
    <row r="13">
      <c r="A13" s="42" t="s">
        <v>68</v>
      </c>
      <c r="B13" s="46">
        <f>'Laba Rugi'!C33</f>
        <v>21245411</v>
      </c>
    </row>
    <row r="14">
      <c r="A14" s="42" t="s">
        <v>76</v>
      </c>
      <c r="B14" s="46">
        <f>'Laba Rugi'!C42</f>
        <v>-632661</v>
      </c>
    </row>
    <row r="16">
      <c r="A16" s="40" t="s">
        <v>84</v>
      </c>
    </row>
    <row r="17">
      <c r="A17" s="42" t="s">
        <v>89</v>
      </c>
      <c r="B17" s="46">
        <f>Neraca!C23</f>
        <v>61237339</v>
      </c>
    </row>
    <row r="18">
      <c r="A18" s="42" t="s">
        <v>97</v>
      </c>
      <c r="B18" s="46">
        <f>Neraca!C27</f>
        <v>0</v>
      </c>
    </row>
    <row r="19">
      <c r="A19" s="42" t="s">
        <v>102</v>
      </c>
      <c r="B19" s="46">
        <f>Neraca!C33</f>
        <v>61237339</v>
      </c>
    </row>
    <row r="21" ht="15.75" customHeight="1">
      <c r="A21" s="4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3:E3"/>
    <mergeCell ref="A9:E9"/>
    <mergeCell ref="A16:E16"/>
    <mergeCell ref="A21:E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3.0"/>
  </cols>
  <sheetData>
    <row r="1">
      <c r="A1" s="6"/>
      <c r="B1" s="6"/>
      <c r="C1" s="10"/>
      <c r="D1" s="10"/>
      <c r="E1" s="10"/>
      <c r="F1" s="10"/>
      <c r="G1" s="6"/>
      <c r="H1" s="6"/>
      <c r="I1" s="6"/>
      <c r="J1" s="6"/>
      <c r="K1" s="10"/>
      <c r="L1" s="10"/>
      <c r="M1" s="10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9" t="s">
        <v>8</v>
      </c>
      <c r="G2" s="6"/>
      <c r="H2" s="19" t="s">
        <v>12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2" t="s">
        <v>15</v>
      </c>
      <c r="B3" s="22" t="s">
        <v>17</v>
      </c>
      <c r="C3" s="25" t="s">
        <v>19</v>
      </c>
      <c r="D3" s="28" t="s">
        <v>23</v>
      </c>
      <c r="E3" s="25" t="s">
        <v>24</v>
      </c>
      <c r="F3" s="28" t="s">
        <v>25</v>
      </c>
      <c r="G3" s="6"/>
      <c r="H3" s="22" t="s">
        <v>15</v>
      </c>
      <c r="I3" s="22" t="s">
        <v>17</v>
      </c>
      <c r="J3" s="22" t="s">
        <v>19</v>
      </c>
      <c r="K3" s="28" t="s">
        <v>23</v>
      </c>
      <c r="L3" s="25" t="s">
        <v>24</v>
      </c>
      <c r="M3" s="28" t="s">
        <v>27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3" t="s">
        <v>30</v>
      </c>
      <c r="B4" s="35" t="s">
        <v>32</v>
      </c>
      <c r="C4" s="37">
        <v>5000000.0</v>
      </c>
      <c r="D4" s="37">
        <f t="shared" ref="D4:D13" si="1">C4/48</f>
        <v>104166.6667</v>
      </c>
      <c r="E4" s="37">
        <f t="shared" ref="E4:E6" si="2">D4*4</f>
        <v>416666.6667</v>
      </c>
      <c r="F4" s="37">
        <f t="shared" ref="F4:F13" si="3">C4-E4</f>
        <v>4583333.333</v>
      </c>
      <c r="G4" s="6"/>
      <c r="H4" s="33" t="s">
        <v>30</v>
      </c>
      <c r="I4" s="48">
        <v>45901.0</v>
      </c>
      <c r="J4" s="37">
        <v>5000000.0</v>
      </c>
      <c r="K4" s="37">
        <f t="shared" ref="K4:K14" si="4">J4/48</f>
        <v>104166.6667</v>
      </c>
      <c r="L4" s="37">
        <f t="shared" ref="L4:L13" si="5">K4*8</f>
        <v>833333.3333</v>
      </c>
      <c r="M4" s="37">
        <f t="shared" ref="M4:M14" si="6">J4-L4</f>
        <v>4166666.667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56" t="s">
        <v>120</v>
      </c>
      <c r="B5" s="56" t="s">
        <v>32</v>
      </c>
      <c r="C5" s="58">
        <v>1000000.0</v>
      </c>
      <c r="D5" s="37">
        <f t="shared" si="1"/>
        <v>20833.33333</v>
      </c>
      <c r="E5" s="37">
        <f t="shared" si="2"/>
        <v>83333.33333</v>
      </c>
      <c r="F5" s="37">
        <f t="shared" si="3"/>
        <v>916666.6667</v>
      </c>
      <c r="G5" s="6"/>
      <c r="H5" s="56" t="s">
        <v>120</v>
      </c>
      <c r="I5" s="64">
        <v>45901.0</v>
      </c>
      <c r="J5" s="58">
        <v>1000000.0</v>
      </c>
      <c r="K5" s="37">
        <f t="shared" si="4"/>
        <v>20833.33333</v>
      </c>
      <c r="L5" s="37">
        <f t="shared" si="5"/>
        <v>166666.6667</v>
      </c>
      <c r="M5" s="37">
        <f t="shared" si="6"/>
        <v>833333.3333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6" t="s">
        <v>125</v>
      </c>
      <c r="B6" s="56" t="s">
        <v>32</v>
      </c>
      <c r="C6" s="58">
        <v>1.0E7</v>
      </c>
      <c r="D6" s="37">
        <f t="shared" si="1"/>
        <v>208333.3333</v>
      </c>
      <c r="E6" s="37">
        <f t="shared" si="2"/>
        <v>833333.3333</v>
      </c>
      <c r="F6" s="37">
        <f t="shared" si="3"/>
        <v>9166666.667</v>
      </c>
      <c r="G6" s="6"/>
      <c r="H6" s="56" t="s">
        <v>125</v>
      </c>
      <c r="I6" s="64">
        <v>45901.0</v>
      </c>
      <c r="J6" s="58">
        <v>1.0E7</v>
      </c>
      <c r="K6" s="37">
        <f t="shared" si="4"/>
        <v>208333.3333</v>
      </c>
      <c r="L6" s="37">
        <f t="shared" si="5"/>
        <v>1666666.667</v>
      </c>
      <c r="M6" s="37">
        <f t="shared" si="6"/>
        <v>8333333.333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6" t="s">
        <v>128</v>
      </c>
      <c r="B7" s="56" t="s">
        <v>129</v>
      </c>
      <c r="C7" s="58">
        <v>686000.0</v>
      </c>
      <c r="D7" s="37">
        <f t="shared" si="1"/>
        <v>14291.66667</v>
      </c>
      <c r="E7" s="70">
        <f t="shared" ref="E7:E8" si="7">D7*3</f>
        <v>42875</v>
      </c>
      <c r="F7" s="37">
        <f t="shared" si="3"/>
        <v>643125</v>
      </c>
      <c r="G7" s="6"/>
      <c r="H7" s="56" t="s">
        <v>128</v>
      </c>
      <c r="I7" s="64">
        <v>45931.0</v>
      </c>
      <c r="J7" s="58">
        <v>686000.0</v>
      </c>
      <c r="K7" s="37">
        <f t="shared" si="4"/>
        <v>14291.66667</v>
      </c>
      <c r="L7" s="37">
        <f t="shared" si="5"/>
        <v>114333.3333</v>
      </c>
      <c r="M7" s="37">
        <f t="shared" si="6"/>
        <v>571666.6667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6" t="s">
        <v>130</v>
      </c>
      <c r="B8" s="56" t="s">
        <v>129</v>
      </c>
      <c r="C8" s="58">
        <v>209000.0</v>
      </c>
      <c r="D8" s="37">
        <f t="shared" si="1"/>
        <v>4354.166667</v>
      </c>
      <c r="E8" s="70">
        <f t="shared" si="7"/>
        <v>13062.5</v>
      </c>
      <c r="F8" s="37">
        <f t="shared" si="3"/>
        <v>195937.5</v>
      </c>
      <c r="G8" s="6"/>
      <c r="H8" s="56" t="s">
        <v>130</v>
      </c>
      <c r="I8" s="64">
        <v>45931.0</v>
      </c>
      <c r="J8" s="58">
        <v>209000.0</v>
      </c>
      <c r="K8" s="37">
        <f t="shared" si="4"/>
        <v>4354.166667</v>
      </c>
      <c r="L8" s="37">
        <f t="shared" si="5"/>
        <v>34833.33333</v>
      </c>
      <c r="M8" s="37">
        <f t="shared" si="6"/>
        <v>174166.6667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6" t="s">
        <v>131</v>
      </c>
      <c r="B9" s="56" t="s">
        <v>132</v>
      </c>
      <c r="C9" s="58">
        <v>268909.0</v>
      </c>
      <c r="D9" s="37">
        <f t="shared" si="1"/>
        <v>5602.270833</v>
      </c>
      <c r="E9" s="70">
        <f t="shared" ref="E9:E10" si="8">D9*2</f>
        <v>11204.54167</v>
      </c>
      <c r="F9" s="37">
        <f t="shared" si="3"/>
        <v>257704.4583</v>
      </c>
      <c r="G9" s="6"/>
      <c r="H9" s="56" t="s">
        <v>131</v>
      </c>
      <c r="I9" s="64">
        <v>45962.0</v>
      </c>
      <c r="J9" s="58">
        <v>268909.0</v>
      </c>
      <c r="K9" s="37">
        <f t="shared" si="4"/>
        <v>5602.270833</v>
      </c>
      <c r="L9" s="37">
        <f t="shared" si="5"/>
        <v>44818.16667</v>
      </c>
      <c r="M9" s="37">
        <f t="shared" si="6"/>
        <v>224090.8333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6" t="s">
        <v>133</v>
      </c>
      <c r="B10" s="56" t="s">
        <v>132</v>
      </c>
      <c r="C10" s="58">
        <v>74263.0</v>
      </c>
      <c r="D10" s="37">
        <f t="shared" si="1"/>
        <v>1547.145833</v>
      </c>
      <c r="E10" s="70">
        <f t="shared" si="8"/>
        <v>3094.291667</v>
      </c>
      <c r="F10" s="37">
        <f t="shared" si="3"/>
        <v>71168.70833</v>
      </c>
      <c r="G10" s="6"/>
      <c r="H10" s="56" t="s">
        <v>133</v>
      </c>
      <c r="I10" s="64">
        <v>45962.0</v>
      </c>
      <c r="J10" s="58">
        <v>74263.0</v>
      </c>
      <c r="K10" s="37">
        <f t="shared" si="4"/>
        <v>1547.145833</v>
      </c>
      <c r="L10" s="37">
        <f t="shared" si="5"/>
        <v>12377.16667</v>
      </c>
      <c r="M10" s="37">
        <f t="shared" si="6"/>
        <v>61885.83333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6" t="s">
        <v>134</v>
      </c>
      <c r="B11" s="56" t="s">
        <v>135</v>
      </c>
      <c r="C11" s="58">
        <v>61100.0</v>
      </c>
      <c r="D11" s="37">
        <f t="shared" si="1"/>
        <v>1272.916667</v>
      </c>
      <c r="E11" s="70">
        <f t="shared" ref="E11:E13" si="9">D11*1</f>
        <v>1272.916667</v>
      </c>
      <c r="F11" s="37">
        <f t="shared" si="3"/>
        <v>59827.08333</v>
      </c>
      <c r="G11" s="6"/>
      <c r="H11" s="56" t="s">
        <v>134</v>
      </c>
      <c r="I11" s="64">
        <v>45992.0</v>
      </c>
      <c r="J11" s="58">
        <v>61100.0</v>
      </c>
      <c r="K11" s="37">
        <f t="shared" si="4"/>
        <v>1272.916667</v>
      </c>
      <c r="L11" s="37">
        <f t="shared" si="5"/>
        <v>10183.33333</v>
      </c>
      <c r="M11" s="37">
        <f t="shared" si="6"/>
        <v>50916.66667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6" t="s">
        <v>136</v>
      </c>
      <c r="B12" s="56" t="s">
        <v>135</v>
      </c>
      <c r="C12" s="58">
        <v>17999.0</v>
      </c>
      <c r="D12" s="37">
        <f t="shared" si="1"/>
        <v>374.9791667</v>
      </c>
      <c r="E12" s="70">
        <f t="shared" si="9"/>
        <v>374.9791667</v>
      </c>
      <c r="F12" s="37">
        <f t="shared" si="3"/>
        <v>17624.02083</v>
      </c>
      <c r="G12" s="6"/>
      <c r="H12" s="56" t="s">
        <v>136</v>
      </c>
      <c r="I12" s="64">
        <v>45992.0</v>
      </c>
      <c r="J12" s="58">
        <v>17999.0</v>
      </c>
      <c r="K12" s="37">
        <f t="shared" si="4"/>
        <v>374.9791667</v>
      </c>
      <c r="L12" s="37">
        <f t="shared" si="5"/>
        <v>2999.833333</v>
      </c>
      <c r="M12" s="37">
        <f t="shared" si="6"/>
        <v>14999.16667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6" t="s">
        <v>137</v>
      </c>
      <c r="B13" s="56" t="s">
        <v>135</v>
      </c>
      <c r="C13" s="58">
        <v>151205.0</v>
      </c>
      <c r="D13" s="37">
        <f t="shared" si="1"/>
        <v>3150.104167</v>
      </c>
      <c r="E13" s="70">
        <f t="shared" si="9"/>
        <v>3150.104167</v>
      </c>
      <c r="F13" s="37">
        <f t="shared" si="3"/>
        <v>148054.8958</v>
      </c>
      <c r="G13" s="6"/>
      <c r="H13" s="56" t="s">
        <v>137</v>
      </c>
      <c r="I13" s="64">
        <v>45992.0</v>
      </c>
      <c r="J13" s="58">
        <v>151205.0</v>
      </c>
      <c r="K13" s="37">
        <f t="shared" si="4"/>
        <v>3150.104167</v>
      </c>
      <c r="L13" s="37">
        <f t="shared" si="5"/>
        <v>25200.83333</v>
      </c>
      <c r="M13" s="37">
        <f t="shared" si="6"/>
        <v>126004.1667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5" t="s">
        <v>139</v>
      </c>
      <c r="B14" s="6"/>
      <c r="C14" s="10">
        <f t="shared" ref="C14:F14" si="10">SUM(C4:C13)</f>
        <v>17468476</v>
      </c>
      <c r="D14" s="10">
        <f t="shared" si="10"/>
        <v>363926.5833</v>
      </c>
      <c r="E14" s="10">
        <f t="shared" si="10"/>
        <v>1408367.667</v>
      </c>
      <c r="F14" s="10">
        <f t="shared" si="10"/>
        <v>16060108.33</v>
      </c>
      <c r="G14" s="6"/>
      <c r="H14" s="56" t="s">
        <v>140</v>
      </c>
      <c r="I14" s="64">
        <v>46235.0</v>
      </c>
      <c r="J14" s="56">
        <v>9500.0</v>
      </c>
      <c r="K14" s="37">
        <f t="shared" si="4"/>
        <v>197.9166667</v>
      </c>
      <c r="L14" s="70">
        <f>K14*1</f>
        <v>197.9166667</v>
      </c>
      <c r="M14" s="37">
        <f t="shared" si="6"/>
        <v>9302.083333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10"/>
      <c r="D15" s="10"/>
      <c r="E15" s="10"/>
      <c r="F15" s="10"/>
      <c r="G15" s="6"/>
      <c r="H15" s="6"/>
      <c r="I15" s="6"/>
      <c r="J15" s="10">
        <f t="shared" ref="J15:M15" si="11">sum(J4:J14)</f>
        <v>17477976</v>
      </c>
      <c r="K15" s="10">
        <f t="shared" si="11"/>
        <v>364124.5</v>
      </c>
      <c r="L15" s="10">
        <f t="shared" si="11"/>
        <v>2911610.583</v>
      </c>
      <c r="M15" s="10">
        <f t="shared" si="11"/>
        <v>14566365.42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10"/>
      <c r="D16" s="10"/>
      <c r="E16" s="10"/>
      <c r="F16" s="10"/>
      <c r="G16" s="6"/>
      <c r="H16" s="6"/>
      <c r="I16" s="6"/>
      <c r="J16" s="6"/>
      <c r="K16" s="10"/>
      <c r="L16" s="10"/>
      <c r="M16" s="1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10"/>
      <c r="D17" s="10"/>
      <c r="E17" s="10"/>
      <c r="F17" s="10"/>
      <c r="G17" s="6"/>
      <c r="H17" s="19" t="s">
        <v>141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10"/>
      <c r="D18" s="10"/>
      <c r="E18" s="10"/>
      <c r="F18" s="10"/>
      <c r="G18" s="6"/>
      <c r="H18" s="22" t="s">
        <v>15</v>
      </c>
      <c r="I18" s="22" t="s">
        <v>17</v>
      </c>
      <c r="J18" s="22" t="s">
        <v>19</v>
      </c>
      <c r="K18" s="28" t="s">
        <v>23</v>
      </c>
      <c r="L18" s="25" t="s">
        <v>24</v>
      </c>
      <c r="M18" s="28" t="s">
        <v>27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10"/>
      <c r="D19" s="10"/>
      <c r="E19" s="10"/>
      <c r="F19" s="10"/>
      <c r="G19" s="6"/>
      <c r="H19" s="33" t="s">
        <v>30</v>
      </c>
      <c r="I19" s="48">
        <v>45901.0</v>
      </c>
      <c r="J19" s="37">
        <v>5000000.0</v>
      </c>
      <c r="K19" s="37">
        <f t="shared" ref="K19:K29" si="12">J19/48</f>
        <v>104166.6667</v>
      </c>
      <c r="L19" s="37">
        <f t="shared" ref="L19:L29" si="13">K19*9</f>
        <v>937500</v>
      </c>
      <c r="M19" s="37">
        <f t="shared" ref="M19:M29" si="14">J19-L19</f>
        <v>4062500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10"/>
      <c r="D20" s="10"/>
      <c r="E20" s="10"/>
      <c r="F20" s="10"/>
      <c r="G20" s="6"/>
      <c r="H20" s="56" t="s">
        <v>120</v>
      </c>
      <c r="I20" s="64">
        <v>45901.0</v>
      </c>
      <c r="J20" s="58">
        <v>1000000.0</v>
      </c>
      <c r="K20" s="37">
        <f t="shared" si="12"/>
        <v>20833.33333</v>
      </c>
      <c r="L20" s="37">
        <f t="shared" si="13"/>
        <v>187500</v>
      </c>
      <c r="M20" s="37">
        <f t="shared" si="14"/>
        <v>812500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10"/>
      <c r="D21" s="10"/>
      <c r="E21" s="10"/>
      <c r="F21" s="10"/>
      <c r="G21" s="6"/>
      <c r="H21" s="56" t="s">
        <v>125</v>
      </c>
      <c r="I21" s="64">
        <v>45901.0</v>
      </c>
      <c r="J21" s="58">
        <v>1.0E7</v>
      </c>
      <c r="K21" s="37">
        <f t="shared" si="12"/>
        <v>208333.3333</v>
      </c>
      <c r="L21" s="37">
        <f t="shared" si="13"/>
        <v>1875000</v>
      </c>
      <c r="M21" s="37">
        <f t="shared" si="14"/>
        <v>8125000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10"/>
      <c r="D22" s="10"/>
      <c r="E22" s="10"/>
      <c r="F22" s="10"/>
      <c r="G22" s="6"/>
      <c r="H22" s="56" t="s">
        <v>128</v>
      </c>
      <c r="I22" s="64">
        <v>45931.0</v>
      </c>
      <c r="J22" s="58">
        <v>686000.0</v>
      </c>
      <c r="K22" s="37">
        <f t="shared" si="12"/>
        <v>14291.66667</v>
      </c>
      <c r="L22" s="37">
        <f t="shared" si="13"/>
        <v>128625</v>
      </c>
      <c r="M22" s="37">
        <f t="shared" si="14"/>
        <v>557375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10"/>
      <c r="D23" s="10"/>
      <c r="E23" s="10"/>
      <c r="F23" s="10"/>
      <c r="G23" s="6"/>
      <c r="H23" s="56" t="s">
        <v>130</v>
      </c>
      <c r="I23" s="64">
        <v>45931.0</v>
      </c>
      <c r="J23" s="58">
        <v>209000.0</v>
      </c>
      <c r="K23" s="37">
        <f t="shared" si="12"/>
        <v>4354.166667</v>
      </c>
      <c r="L23" s="37">
        <f t="shared" si="13"/>
        <v>39187.5</v>
      </c>
      <c r="M23" s="37">
        <f t="shared" si="14"/>
        <v>169812.5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10"/>
      <c r="D24" s="10"/>
      <c r="E24" s="10"/>
      <c r="F24" s="10"/>
      <c r="G24" s="6"/>
      <c r="H24" s="56" t="s">
        <v>131</v>
      </c>
      <c r="I24" s="64">
        <v>45962.0</v>
      </c>
      <c r="J24" s="58">
        <v>268909.0</v>
      </c>
      <c r="K24" s="37">
        <f t="shared" si="12"/>
        <v>5602.270833</v>
      </c>
      <c r="L24" s="37">
        <f t="shared" si="13"/>
        <v>50420.4375</v>
      </c>
      <c r="M24" s="37">
        <f t="shared" si="14"/>
        <v>218488.5625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10"/>
      <c r="D25" s="10"/>
      <c r="E25" s="10"/>
      <c r="F25" s="10"/>
      <c r="G25" s="6"/>
      <c r="H25" s="56" t="s">
        <v>133</v>
      </c>
      <c r="I25" s="64">
        <v>45962.0</v>
      </c>
      <c r="J25" s="58">
        <v>74263.0</v>
      </c>
      <c r="K25" s="37">
        <f t="shared" si="12"/>
        <v>1547.145833</v>
      </c>
      <c r="L25" s="37">
        <f t="shared" si="13"/>
        <v>13924.3125</v>
      </c>
      <c r="M25" s="37">
        <f t="shared" si="14"/>
        <v>60338.6875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10"/>
      <c r="D26" s="10"/>
      <c r="E26" s="10"/>
      <c r="F26" s="10"/>
      <c r="G26" s="6"/>
      <c r="H26" s="56" t="s">
        <v>134</v>
      </c>
      <c r="I26" s="64">
        <v>45992.0</v>
      </c>
      <c r="J26" s="58">
        <v>61100.0</v>
      </c>
      <c r="K26" s="37">
        <f t="shared" si="12"/>
        <v>1272.916667</v>
      </c>
      <c r="L26" s="37">
        <f t="shared" si="13"/>
        <v>11456.25</v>
      </c>
      <c r="M26" s="37">
        <f t="shared" si="14"/>
        <v>49643.75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10"/>
      <c r="D27" s="10"/>
      <c r="E27" s="10"/>
      <c r="F27" s="10"/>
      <c r="G27" s="6"/>
      <c r="H27" s="56" t="s">
        <v>136</v>
      </c>
      <c r="I27" s="64">
        <v>45992.0</v>
      </c>
      <c r="J27" s="58">
        <v>17999.0</v>
      </c>
      <c r="K27" s="37">
        <f t="shared" si="12"/>
        <v>374.9791667</v>
      </c>
      <c r="L27" s="37">
        <f t="shared" si="13"/>
        <v>3374.8125</v>
      </c>
      <c r="M27" s="37">
        <f t="shared" si="14"/>
        <v>14624.1875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10"/>
      <c r="D28" s="10"/>
      <c r="E28" s="10"/>
      <c r="F28" s="10"/>
      <c r="G28" s="6"/>
      <c r="H28" s="56" t="s">
        <v>137</v>
      </c>
      <c r="I28" s="64">
        <v>45992.0</v>
      </c>
      <c r="J28" s="58">
        <v>151205.0</v>
      </c>
      <c r="K28" s="37">
        <f t="shared" si="12"/>
        <v>3150.104167</v>
      </c>
      <c r="L28" s="37">
        <f t="shared" si="13"/>
        <v>28350.9375</v>
      </c>
      <c r="M28" s="37">
        <f t="shared" si="14"/>
        <v>122854.0625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10"/>
      <c r="D29" s="10"/>
      <c r="E29" s="10"/>
      <c r="F29" s="10"/>
      <c r="G29" s="6"/>
      <c r="H29" s="56" t="s">
        <v>140</v>
      </c>
      <c r="I29" s="64">
        <v>46235.0</v>
      </c>
      <c r="J29" s="56">
        <v>9500.0</v>
      </c>
      <c r="K29" s="37">
        <f t="shared" si="12"/>
        <v>197.9166667</v>
      </c>
      <c r="L29" s="37">
        <f t="shared" si="13"/>
        <v>1781.25</v>
      </c>
      <c r="M29" s="37">
        <f t="shared" si="14"/>
        <v>7718.75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10"/>
      <c r="D30" s="10"/>
      <c r="E30" s="10"/>
      <c r="F30" s="10"/>
      <c r="G30" s="6"/>
      <c r="H30" s="6"/>
      <c r="I30" s="6"/>
      <c r="J30" s="10">
        <f t="shared" ref="J30:M30" si="15">SUM(J19:J29)</f>
        <v>17477976</v>
      </c>
      <c r="K30" s="10">
        <f t="shared" si="15"/>
        <v>364124.5</v>
      </c>
      <c r="L30" s="10">
        <f t="shared" si="15"/>
        <v>3277120.5</v>
      </c>
      <c r="M30" s="10">
        <f t="shared" si="15"/>
        <v>14200855.5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10"/>
      <c r="D31" s="10"/>
      <c r="E31" s="10"/>
      <c r="F31" s="10"/>
      <c r="G31" s="6"/>
      <c r="H31" s="6"/>
      <c r="I31" s="6"/>
      <c r="J31" s="6"/>
      <c r="K31" s="10"/>
      <c r="L31" s="10"/>
      <c r="M31" s="10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10"/>
      <c r="D32" s="10"/>
      <c r="E32" s="10"/>
      <c r="F32" s="10"/>
      <c r="G32" s="6"/>
      <c r="H32" s="6"/>
      <c r="I32" s="6"/>
      <c r="J32" s="6"/>
      <c r="K32" s="10"/>
      <c r="L32" s="10"/>
      <c r="M32" s="1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10"/>
      <c r="D33" s="10"/>
      <c r="E33" s="10"/>
      <c r="F33" s="10"/>
      <c r="G33" s="6"/>
      <c r="H33" s="19" t="s">
        <v>151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10"/>
      <c r="D34" s="10"/>
      <c r="E34" s="10"/>
      <c r="F34" s="10"/>
      <c r="G34" s="6"/>
      <c r="H34" s="22" t="s">
        <v>15</v>
      </c>
      <c r="I34" s="22" t="s">
        <v>17</v>
      </c>
      <c r="J34" s="22" t="s">
        <v>19</v>
      </c>
      <c r="K34" s="28" t="s">
        <v>23</v>
      </c>
      <c r="L34" s="25" t="s">
        <v>24</v>
      </c>
      <c r="M34" s="28" t="s">
        <v>27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10"/>
      <c r="D35" s="10"/>
      <c r="E35" s="10"/>
      <c r="F35" s="10"/>
      <c r="G35" s="6"/>
      <c r="H35" s="33" t="s">
        <v>30</v>
      </c>
      <c r="I35" s="48">
        <v>45901.0</v>
      </c>
      <c r="J35" s="37">
        <v>5000000.0</v>
      </c>
      <c r="K35" s="37">
        <f t="shared" ref="K35:K45" si="16">J35/48</f>
        <v>104166.6667</v>
      </c>
      <c r="L35" s="37">
        <f t="shared" ref="L35:L45" si="17">K35*10</f>
        <v>1041666.667</v>
      </c>
      <c r="M35" s="37">
        <f t="shared" ref="M35:M45" si="18">M19-L35</f>
        <v>3020833.333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10"/>
      <c r="D36" s="10"/>
      <c r="E36" s="10"/>
      <c r="F36" s="10"/>
      <c r="G36" s="6"/>
      <c r="H36" s="56" t="s">
        <v>120</v>
      </c>
      <c r="I36" s="64">
        <v>45901.0</v>
      </c>
      <c r="J36" s="58">
        <v>1000000.0</v>
      </c>
      <c r="K36" s="37">
        <f t="shared" si="16"/>
        <v>20833.33333</v>
      </c>
      <c r="L36" s="37">
        <f t="shared" si="17"/>
        <v>208333.3333</v>
      </c>
      <c r="M36" s="37">
        <f t="shared" si="18"/>
        <v>604166.6667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10"/>
      <c r="D37" s="10"/>
      <c r="E37" s="10"/>
      <c r="F37" s="10"/>
      <c r="G37" s="6"/>
      <c r="H37" s="56" t="s">
        <v>125</v>
      </c>
      <c r="I37" s="64">
        <v>45901.0</v>
      </c>
      <c r="J37" s="58">
        <v>1.0E7</v>
      </c>
      <c r="K37" s="37">
        <f t="shared" si="16"/>
        <v>208333.3333</v>
      </c>
      <c r="L37" s="37">
        <f t="shared" si="17"/>
        <v>2083333.333</v>
      </c>
      <c r="M37" s="37">
        <f t="shared" si="18"/>
        <v>6041666.667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10"/>
      <c r="D38" s="10"/>
      <c r="E38" s="10"/>
      <c r="F38" s="10"/>
      <c r="G38" s="6"/>
      <c r="H38" s="56" t="s">
        <v>128</v>
      </c>
      <c r="I38" s="64">
        <v>45931.0</v>
      </c>
      <c r="J38" s="58">
        <v>686000.0</v>
      </c>
      <c r="K38" s="37">
        <f t="shared" si="16"/>
        <v>14291.66667</v>
      </c>
      <c r="L38" s="37">
        <f t="shared" si="17"/>
        <v>142916.6667</v>
      </c>
      <c r="M38" s="37">
        <f t="shared" si="18"/>
        <v>414458.3333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10"/>
      <c r="D39" s="10"/>
      <c r="E39" s="10"/>
      <c r="F39" s="10"/>
      <c r="G39" s="6"/>
      <c r="H39" s="56" t="s">
        <v>130</v>
      </c>
      <c r="I39" s="64">
        <v>45931.0</v>
      </c>
      <c r="J39" s="58">
        <v>209000.0</v>
      </c>
      <c r="K39" s="37">
        <f t="shared" si="16"/>
        <v>4354.166667</v>
      </c>
      <c r="L39" s="37">
        <f t="shared" si="17"/>
        <v>43541.66667</v>
      </c>
      <c r="M39" s="37">
        <f t="shared" si="18"/>
        <v>126270.8333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10"/>
      <c r="D40" s="10"/>
      <c r="E40" s="10"/>
      <c r="F40" s="10"/>
      <c r="G40" s="6"/>
      <c r="H40" s="56" t="s">
        <v>131</v>
      </c>
      <c r="I40" s="64">
        <v>45962.0</v>
      </c>
      <c r="J40" s="58">
        <v>268909.0</v>
      </c>
      <c r="K40" s="37">
        <f t="shared" si="16"/>
        <v>5602.270833</v>
      </c>
      <c r="L40" s="37">
        <f t="shared" si="17"/>
        <v>56022.70833</v>
      </c>
      <c r="M40" s="37">
        <f t="shared" si="18"/>
        <v>162465.8542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10"/>
      <c r="D41" s="10"/>
      <c r="E41" s="10"/>
      <c r="F41" s="10"/>
      <c r="G41" s="6"/>
      <c r="H41" s="56" t="s">
        <v>133</v>
      </c>
      <c r="I41" s="64">
        <v>45962.0</v>
      </c>
      <c r="J41" s="58">
        <v>74263.0</v>
      </c>
      <c r="K41" s="37">
        <f t="shared" si="16"/>
        <v>1547.145833</v>
      </c>
      <c r="L41" s="37">
        <f t="shared" si="17"/>
        <v>15471.45833</v>
      </c>
      <c r="M41" s="37">
        <f t="shared" si="18"/>
        <v>44867.22917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10"/>
      <c r="D42" s="10"/>
      <c r="E42" s="10"/>
      <c r="F42" s="10"/>
      <c r="G42" s="6"/>
      <c r="H42" s="56" t="s">
        <v>134</v>
      </c>
      <c r="I42" s="64">
        <v>45992.0</v>
      </c>
      <c r="J42" s="58">
        <v>61100.0</v>
      </c>
      <c r="K42" s="37">
        <f t="shared" si="16"/>
        <v>1272.916667</v>
      </c>
      <c r="L42" s="37">
        <f t="shared" si="17"/>
        <v>12729.16667</v>
      </c>
      <c r="M42" s="37">
        <f t="shared" si="18"/>
        <v>36914.58333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10"/>
      <c r="D43" s="10"/>
      <c r="E43" s="10"/>
      <c r="F43" s="10"/>
      <c r="G43" s="6"/>
      <c r="H43" s="56" t="s">
        <v>136</v>
      </c>
      <c r="I43" s="64">
        <v>45992.0</v>
      </c>
      <c r="J43" s="58">
        <v>17999.0</v>
      </c>
      <c r="K43" s="37">
        <f t="shared" si="16"/>
        <v>374.9791667</v>
      </c>
      <c r="L43" s="37">
        <f t="shared" si="17"/>
        <v>3749.791667</v>
      </c>
      <c r="M43" s="37">
        <f t="shared" si="18"/>
        <v>10874.39583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10"/>
      <c r="D44" s="10"/>
      <c r="E44" s="10"/>
      <c r="F44" s="10"/>
      <c r="G44" s="6"/>
      <c r="H44" s="56" t="s">
        <v>137</v>
      </c>
      <c r="I44" s="64">
        <v>45992.0</v>
      </c>
      <c r="J44" s="58">
        <v>151205.0</v>
      </c>
      <c r="K44" s="37">
        <f t="shared" si="16"/>
        <v>3150.104167</v>
      </c>
      <c r="L44" s="37">
        <f t="shared" si="17"/>
        <v>31501.04167</v>
      </c>
      <c r="M44" s="37">
        <f t="shared" si="18"/>
        <v>91353.02083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10"/>
      <c r="D45" s="10"/>
      <c r="E45" s="10"/>
      <c r="F45" s="10"/>
      <c r="G45" s="6"/>
      <c r="H45" s="56" t="s">
        <v>140</v>
      </c>
      <c r="I45" s="64">
        <v>46235.0</v>
      </c>
      <c r="J45" s="56">
        <v>9500.0</v>
      </c>
      <c r="K45" s="37">
        <f t="shared" si="16"/>
        <v>197.9166667</v>
      </c>
      <c r="L45" s="37">
        <f t="shared" si="17"/>
        <v>1979.166667</v>
      </c>
      <c r="M45" s="37">
        <f t="shared" si="18"/>
        <v>5739.583333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10"/>
      <c r="D46" s="10"/>
      <c r="E46" s="10"/>
      <c r="F46" s="10"/>
      <c r="G46" s="6"/>
      <c r="H46" s="6"/>
      <c r="I46" s="6"/>
      <c r="J46" s="10">
        <f t="shared" ref="J46:M46" si="19">SUM(J35:J45)</f>
        <v>17477976</v>
      </c>
      <c r="K46" s="10">
        <f t="shared" si="19"/>
        <v>364124.5</v>
      </c>
      <c r="L46" s="10">
        <f t="shared" si="19"/>
        <v>3641245</v>
      </c>
      <c r="M46" s="10">
        <f t="shared" si="19"/>
        <v>10559610.5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10"/>
      <c r="D47" s="10"/>
      <c r="E47" s="10"/>
      <c r="F47" s="10"/>
      <c r="G47" s="6"/>
      <c r="H47" s="6"/>
      <c r="I47" s="6"/>
      <c r="J47" s="6"/>
      <c r="K47" s="10"/>
      <c r="L47" s="10"/>
      <c r="M47" s="1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10"/>
      <c r="D48" s="10"/>
      <c r="E48" s="10"/>
      <c r="F48" s="10"/>
      <c r="G48" s="6"/>
      <c r="H48" s="6"/>
      <c r="I48" s="6"/>
      <c r="J48" s="6"/>
      <c r="K48" s="10"/>
      <c r="L48" s="10"/>
      <c r="M48" s="1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10"/>
      <c r="D49" s="10"/>
      <c r="E49" s="10"/>
      <c r="F49" s="10"/>
      <c r="G49" s="6"/>
      <c r="H49" s="19" t="s">
        <v>154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10"/>
      <c r="D50" s="10"/>
      <c r="E50" s="10"/>
      <c r="F50" s="10"/>
      <c r="G50" s="6"/>
      <c r="H50" s="22" t="s">
        <v>15</v>
      </c>
      <c r="I50" s="22" t="s">
        <v>17</v>
      </c>
      <c r="J50" s="22" t="s">
        <v>19</v>
      </c>
      <c r="K50" s="28" t="s">
        <v>23</v>
      </c>
      <c r="L50" s="25" t="s">
        <v>24</v>
      </c>
      <c r="M50" s="28" t="s">
        <v>27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10"/>
      <c r="D51" s="10"/>
      <c r="E51" s="10"/>
      <c r="F51" s="10"/>
      <c r="G51" s="6"/>
      <c r="H51" s="33" t="s">
        <v>30</v>
      </c>
      <c r="I51" s="48">
        <v>45901.0</v>
      </c>
      <c r="J51" s="37">
        <v>5000000.0</v>
      </c>
      <c r="K51" s="37">
        <f t="shared" ref="K51:K61" si="20">J51/48</f>
        <v>104166.6667</v>
      </c>
      <c r="L51" s="37">
        <f t="shared" ref="L51:L61" si="21">K51*11</f>
        <v>1145833.333</v>
      </c>
      <c r="M51" s="37">
        <f t="shared" ref="M51:M61" si="22">M35-L51</f>
        <v>1875000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10"/>
      <c r="D52" s="10"/>
      <c r="E52" s="10"/>
      <c r="F52" s="10"/>
      <c r="G52" s="6"/>
      <c r="H52" s="56" t="s">
        <v>120</v>
      </c>
      <c r="I52" s="64">
        <v>45901.0</v>
      </c>
      <c r="J52" s="58">
        <v>1000000.0</v>
      </c>
      <c r="K52" s="37">
        <f t="shared" si="20"/>
        <v>20833.33333</v>
      </c>
      <c r="L52" s="37">
        <f t="shared" si="21"/>
        <v>229166.6667</v>
      </c>
      <c r="M52" s="37">
        <f t="shared" si="22"/>
        <v>375000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10"/>
      <c r="D53" s="10"/>
      <c r="E53" s="10"/>
      <c r="F53" s="10"/>
      <c r="G53" s="6"/>
      <c r="H53" s="56" t="s">
        <v>125</v>
      </c>
      <c r="I53" s="64">
        <v>45901.0</v>
      </c>
      <c r="J53" s="58">
        <v>1.0E7</v>
      </c>
      <c r="K53" s="37">
        <f t="shared" si="20"/>
        <v>208333.3333</v>
      </c>
      <c r="L53" s="37">
        <f t="shared" si="21"/>
        <v>2291666.667</v>
      </c>
      <c r="M53" s="37">
        <f t="shared" si="22"/>
        <v>3750000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10"/>
      <c r="D54" s="10"/>
      <c r="E54" s="10"/>
      <c r="F54" s="10"/>
      <c r="G54" s="6"/>
      <c r="H54" s="56" t="s">
        <v>128</v>
      </c>
      <c r="I54" s="64">
        <v>45931.0</v>
      </c>
      <c r="J54" s="58">
        <v>686000.0</v>
      </c>
      <c r="K54" s="37">
        <f t="shared" si="20"/>
        <v>14291.66667</v>
      </c>
      <c r="L54" s="37">
        <f t="shared" si="21"/>
        <v>157208.3333</v>
      </c>
      <c r="M54" s="37">
        <f t="shared" si="22"/>
        <v>257250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10"/>
      <c r="D55" s="10"/>
      <c r="E55" s="10"/>
      <c r="F55" s="10"/>
      <c r="G55" s="6"/>
      <c r="H55" s="56" t="s">
        <v>130</v>
      </c>
      <c r="I55" s="64">
        <v>45931.0</v>
      </c>
      <c r="J55" s="58">
        <v>209000.0</v>
      </c>
      <c r="K55" s="37">
        <f t="shared" si="20"/>
        <v>4354.166667</v>
      </c>
      <c r="L55" s="37">
        <f t="shared" si="21"/>
        <v>47895.83333</v>
      </c>
      <c r="M55" s="37">
        <f t="shared" si="22"/>
        <v>78375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10"/>
      <c r="D56" s="10"/>
      <c r="E56" s="10"/>
      <c r="F56" s="10"/>
      <c r="G56" s="6"/>
      <c r="H56" s="56" t="s">
        <v>131</v>
      </c>
      <c r="I56" s="64">
        <v>45962.0</v>
      </c>
      <c r="J56" s="58">
        <v>268909.0</v>
      </c>
      <c r="K56" s="37">
        <f t="shared" si="20"/>
        <v>5602.270833</v>
      </c>
      <c r="L56" s="37">
        <f t="shared" si="21"/>
        <v>61624.97917</v>
      </c>
      <c r="M56" s="37">
        <f t="shared" si="22"/>
        <v>100840.875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10"/>
      <c r="D57" s="10"/>
      <c r="E57" s="10"/>
      <c r="F57" s="10"/>
      <c r="G57" s="6"/>
      <c r="H57" s="56" t="s">
        <v>133</v>
      </c>
      <c r="I57" s="64">
        <v>45962.0</v>
      </c>
      <c r="J57" s="58">
        <v>74263.0</v>
      </c>
      <c r="K57" s="37">
        <f t="shared" si="20"/>
        <v>1547.145833</v>
      </c>
      <c r="L57" s="37">
        <f t="shared" si="21"/>
        <v>17018.60417</v>
      </c>
      <c r="M57" s="37">
        <f t="shared" si="22"/>
        <v>27848.625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10"/>
      <c r="D58" s="10"/>
      <c r="E58" s="10"/>
      <c r="F58" s="10"/>
      <c r="G58" s="6"/>
      <c r="H58" s="56" t="s">
        <v>134</v>
      </c>
      <c r="I58" s="64">
        <v>45992.0</v>
      </c>
      <c r="J58" s="58">
        <v>61100.0</v>
      </c>
      <c r="K58" s="37">
        <f t="shared" si="20"/>
        <v>1272.916667</v>
      </c>
      <c r="L58" s="37">
        <f t="shared" si="21"/>
        <v>14002.08333</v>
      </c>
      <c r="M58" s="37">
        <f t="shared" si="22"/>
        <v>22912.5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10"/>
      <c r="D59" s="10"/>
      <c r="E59" s="10"/>
      <c r="F59" s="10"/>
      <c r="G59" s="6"/>
      <c r="H59" s="56" t="s">
        <v>136</v>
      </c>
      <c r="I59" s="64">
        <v>45992.0</v>
      </c>
      <c r="J59" s="58">
        <v>17999.0</v>
      </c>
      <c r="K59" s="37">
        <f t="shared" si="20"/>
        <v>374.9791667</v>
      </c>
      <c r="L59" s="37">
        <f t="shared" si="21"/>
        <v>4124.770833</v>
      </c>
      <c r="M59" s="37">
        <f t="shared" si="22"/>
        <v>6749.625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10"/>
      <c r="D60" s="10"/>
      <c r="E60" s="10"/>
      <c r="F60" s="10"/>
      <c r="G60" s="6"/>
      <c r="H60" s="56" t="s">
        <v>137</v>
      </c>
      <c r="I60" s="64">
        <v>45992.0</v>
      </c>
      <c r="J60" s="58">
        <v>151205.0</v>
      </c>
      <c r="K60" s="37">
        <f t="shared" si="20"/>
        <v>3150.104167</v>
      </c>
      <c r="L60" s="37">
        <f t="shared" si="21"/>
        <v>34651.14583</v>
      </c>
      <c r="M60" s="37">
        <f t="shared" si="22"/>
        <v>56701.875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10"/>
      <c r="D61" s="10"/>
      <c r="E61" s="10"/>
      <c r="F61" s="10"/>
      <c r="G61" s="6"/>
      <c r="H61" s="56" t="s">
        <v>140</v>
      </c>
      <c r="I61" s="64">
        <v>46235.0</v>
      </c>
      <c r="J61" s="56">
        <v>9500.0</v>
      </c>
      <c r="K61" s="37">
        <f t="shared" si="20"/>
        <v>197.9166667</v>
      </c>
      <c r="L61" s="37">
        <f t="shared" si="21"/>
        <v>2177.083333</v>
      </c>
      <c r="M61" s="37">
        <f t="shared" si="22"/>
        <v>3562.5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10"/>
      <c r="D62" s="10"/>
      <c r="E62" s="10"/>
      <c r="F62" s="10"/>
      <c r="G62" s="6"/>
      <c r="H62" s="6"/>
      <c r="I62" s="6"/>
      <c r="J62" s="10">
        <f t="shared" ref="J62:M62" si="23">SUM(J51:J61)</f>
        <v>17477976</v>
      </c>
      <c r="K62" s="10">
        <f t="shared" si="23"/>
        <v>364124.5</v>
      </c>
      <c r="L62" s="10">
        <f t="shared" si="23"/>
        <v>4005369.5</v>
      </c>
      <c r="M62" s="10">
        <f t="shared" si="23"/>
        <v>6554241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10"/>
      <c r="D63" s="10"/>
      <c r="E63" s="10"/>
      <c r="F63" s="10"/>
      <c r="G63" s="6"/>
      <c r="H63" s="6"/>
      <c r="I63" s="6"/>
      <c r="J63" s="6"/>
      <c r="K63" s="10"/>
      <c r="L63" s="10"/>
      <c r="M63" s="1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10"/>
      <c r="D64" s="10"/>
      <c r="E64" s="10"/>
      <c r="F64" s="10"/>
      <c r="G64" s="6"/>
      <c r="H64" s="19" t="s">
        <v>158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10"/>
      <c r="D65" s="10"/>
      <c r="E65" s="10"/>
      <c r="F65" s="10"/>
      <c r="G65" s="6"/>
      <c r="H65" s="22" t="s">
        <v>15</v>
      </c>
      <c r="I65" s="22" t="s">
        <v>17</v>
      </c>
      <c r="J65" s="22" t="s">
        <v>19</v>
      </c>
      <c r="K65" s="28" t="s">
        <v>23</v>
      </c>
      <c r="L65" s="25" t="s">
        <v>24</v>
      </c>
      <c r="M65" s="28" t="s">
        <v>27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10"/>
      <c r="D66" s="10"/>
      <c r="E66" s="10"/>
      <c r="F66" s="10"/>
      <c r="G66" s="6"/>
      <c r="H66" s="33" t="s">
        <v>30</v>
      </c>
      <c r="I66" s="48">
        <v>45901.0</v>
      </c>
      <c r="J66" s="37">
        <v>5000000.0</v>
      </c>
      <c r="K66" s="37">
        <f t="shared" ref="K66:K76" si="24">J66/48</f>
        <v>104166.6667</v>
      </c>
      <c r="L66" s="37">
        <f t="shared" ref="L66:L76" si="25">K66*12</f>
        <v>1250000</v>
      </c>
      <c r="M66" s="37">
        <f t="shared" ref="M66:M76" si="26">M51-L66</f>
        <v>625000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10"/>
      <c r="D67" s="10"/>
      <c r="E67" s="10"/>
      <c r="F67" s="10"/>
      <c r="G67" s="6"/>
      <c r="H67" s="56" t="s">
        <v>120</v>
      </c>
      <c r="I67" s="64">
        <v>45901.0</v>
      </c>
      <c r="J67" s="58">
        <v>1000000.0</v>
      </c>
      <c r="K67" s="37">
        <f t="shared" si="24"/>
        <v>20833.33333</v>
      </c>
      <c r="L67" s="37">
        <f t="shared" si="25"/>
        <v>250000</v>
      </c>
      <c r="M67" s="37">
        <f t="shared" si="26"/>
        <v>125000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10"/>
      <c r="D68" s="10"/>
      <c r="E68" s="10"/>
      <c r="F68" s="10"/>
      <c r="G68" s="6"/>
      <c r="H68" s="56" t="s">
        <v>125</v>
      </c>
      <c r="I68" s="64">
        <v>45901.0</v>
      </c>
      <c r="J68" s="58">
        <v>1.0E7</v>
      </c>
      <c r="K68" s="37">
        <f t="shared" si="24"/>
        <v>208333.3333</v>
      </c>
      <c r="L68" s="37">
        <f t="shared" si="25"/>
        <v>2500000</v>
      </c>
      <c r="M68" s="37">
        <f t="shared" si="26"/>
        <v>1250000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10"/>
      <c r="D69" s="10"/>
      <c r="E69" s="10"/>
      <c r="F69" s="10"/>
      <c r="G69" s="6"/>
      <c r="H69" s="56" t="s">
        <v>128</v>
      </c>
      <c r="I69" s="64">
        <v>45931.0</v>
      </c>
      <c r="J69" s="58">
        <v>686000.0</v>
      </c>
      <c r="K69" s="37">
        <f t="shared" si="24"/>
        <v>14291.66667</v>
      </c>
      <c r="L69" s="37">
        <f t="shared" si="25"/>
        <v>171500</v>
      </c>
      <c r="M69" s="37">
        <f t="shared" si="26"/>
        <v>85750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10"/>
      <c r="D70" s="10"/>
      <c r="E70" s="10"/>
      <c r="F70" s="10"/>
      <c r="G70" s="6"/>
      <c r="H70" s="56" t="s">
        <v>130</v>
      </c>
      <c r="I70" s="64">
        <v>45931.0</v>
      </c>
      <c r="J70" s="58">
        <v>209000.0</v>
      </c>
      <c r="K70" s="37">
        <f t="shared" si="24"/>
        <v>4354.166667</v>
      </c>
      <c r="L70" s="37">
        <f t="shared" si="25"/>
        <v>52250</v>
      </c>
      <c r="M70" s="37">
        <f t="shared" si="26"/>
        <v>26125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10"/>
      <c r="D71" s="10"/>
      <c r="E71" s="10"/>
      <c r="F71" s="10"/>
      <c r="G71" s="6"/>
      <c r="H71" s="56" t="s">
        <v>131</v>
      </c>
      <c r="I71" s="64">
        <v>45962.0</v>
      </c>
      <c r="J71" s="58">
        <v>268909.0</v>
      </c>
      <c r="K71" s="37">
        <f t="shared" si="24"/>
        <v>5602.270833</v>
      </c>
      <c r="L71" s="37">
        <f t="shared" si="25"/>
        <v>67227.25</v>
      </c>
      <c r="M71" s="37">
        <f t="shared" si="26"/>
        <v>33613.625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10"/>
      <c r="D72" s="10"/>
      <c r="E72" s="10"/>
      <c r="F72" s="10"/>
      <c r="G72" s="6"/>
      <c r="H72" s="56" t="s">
        <v>133</v>
      </c>
      <c r="I72" s="64">
        <v>45962.0</v>
      </c>
      <c r="J72" s="58">
        <v>74263.0</v>
      </c>
      <c r="K72" s="37">
        <f t="shared" si="24"/>
        <v>1547.145833</v>
      </c>
      <c r="L72" s="37">
        <f t="shared" si="25"/>
        <v>18565.75</v>
      </c>
      <c r="M72" s="37">
        <f t="shared" si="26"/>
        <v>9282.875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10"/>
      <c r="D73" s="10"/>
      <c r="E73" s="10"/>
      <c r="F73" s="10"/>
      <c r="G73" s="6"/>
      <c r="H73" s="56" t="s">
        <v>134</v>
      </c>
      <c r="I73" s="64">
        <v>45992.0</v>
      </c>
      <c r="J73" s="58">
        <v>61100.0</v>
      </c>
      <c r="K73" s="37">
        <f t="shared" si="24"/>
        <v>1272.916667</v>
      </c>
      <c r="L73" s="37">
        <f t="shared" si="25"/>
        <v>15275</v>
      </c>
      <c r="M73" s="37">
        <f t="shared" si="26"/>
        <v>7637.5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10"/>
      <c r="D74" s="10"/>
      <c r="E74" s="10"/>
      <c r="F74" s="10"/>
      <c r="G74" s="6"/>
      <c r="H74" s="56" t="s">
        <v>136</v>
      </c>
      <c r="I74" s="64">
        <v>45992.0</v>
      </c>
      <c r="J74" s="58">
        <v>17999.0</v>
      </c>
      <c r="K74" s="37">
        <f t="shared" si="24"/>
        <v>374.9791667</v>
      </c>
      <c r="L74" s="37">
        <f t="shared" si="25"/>
        <v>4499.75</v>
      </c>
      <c r="M74" s="37">
        <f t="shared" si="26"/>
        <v>2249.875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10"/>
      <c r="D75" s="10"/>
      <c r="E75" s="10"/>
      <c r="F75" s="10"/>
      <c r="G75" s="6"/>
      <c r="H75" s="56" t="s">
        <v>137</v>
      </c>
      <c r="I75" s="64">
        <v>45992.0</v>
      </c>
      <c r="J75" s="58">
        <v>151205.0</v>
      </c>
      <c r="K75" s="37">
        <f t="shared" si="24"/>
        <v>3150.104167</v>
      </c>
      <c r="L75" s="37">
        <f t="shared" si="25"/>
        <v>37801.25</v>
      </c>
      <c r="M75" s="37">
        <f t="shared" si="26"/>
        <v>18900.625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10"/>
      <c r="D76" s="10"/>
      <c r="E76" s="10"/>
      <c r="F76" s="10"/>
      <c r="G76" s="6"/>
      <c r="H76" s="56" t="s">
        <v>140</v>
      </c>
      <c r="I76" s="64">
        <v>46235.0</v>
      </c>
      <c r="J76" s="56">
        <v>9500.0</v>
      </c>
      <c r="K76" s="37">
        <f t="shared" si="24"/>
        <v>197.9166667</v>
      </c>
      <c r="L76" s="37">
        <f t="shared" si="25"/>
        <v>2375</v>
      </c>
      <c r="M76" s="37">
        <f t="shared" si="26"/>
        <v>1187.5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10"/>
      <c r="D77" s="10"/>
      <c r="E77" s="10"/>
      <c r="F77" s="10"/>
      <c r="G77" s="6"/>
      <c r="H77" s="6"/>
      <c r="I77" s="6"/>
      <c r="J77" s="10">
        <f t="shared" ref="J77:M77" si="27">SUM(J66:J76)</f>
        <v>17477976</v>
      </c>
      <c r="K77" s="10">
        <f t="shared" si="27"/>
        <v>364124.5</v>
      </c>
      <c r="L77" s="10">
        <f t="shared" si="27"/>
        <v>4369494</v>
      </c>
      <c r="M77" s="10">
        <f t="shared" si="27"/>
        <v>2184747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10"/>
      <c r="D78" s="10"/>
      <c r="E78" s="10"/>
      <c r="F78" s="10"/>
      <c r="G78" s="6"/>
      <c r="H78" s="6"/>
      <c r="I78" s="6"/>
      <c r="J78" s="6"/>
      <c r="K78" s="10"/>
      <c r="L78" s="10"/>
      <c r="M78" s="1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10"/>
      <c r="D79" s="10"/>
      <c r="E79" s="10"/>
      <c r="F79" s="10"/>
      <c r="G79" s="6"/>
      <c r="H79" s="6"/>
      <c r="I79" s="6"/>
      <c r="J79" s="6"/>
      <c r="K79" s="10"/>
      <c r="L79" s="10"/>
      <c r="M79" s="1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10"/>
      <c r="D80" s="10"/>
      <c r="E80" s="10"/>
      <c r="F80" s="10"/>
      <c r="G80" s="6"/>
      <c r="H80" s="6"/>
      <c r="I80" s="6"/>
      <c r="J80" s="6"/>
      <c r="K80" s="10"/>
      <c r="L80" s="10"/>
      <c r="M80" s="1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10"/>
      <c r="D81" s="10"/>
      <c r="E81" s="10"/>
      <c r="F81" s="10"/>
      <c r="G81" s="6"/>
      <c r="H81" s="6"/>
      <c r="I81" s="6"/>
      <c r="J81" s="6"/>
      <c r="K81" s="10"/>
      <c r="L81" s="10"/>
      <c r="M81" s="1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10"/>
      <c r="D82" s="10"/>
      <c r="E82" s="10"/>
      <c r="F82" s="10"/>
      <c r="G82" s="6"/>
      <c r="H82" s="6"/>
      <c r="I82" s="6"/>
      <c r="J82" s="6"/>
      <c r="K82" s="10"/>
      <c r="L82" s="10"/>
      <c r="M82" s="1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10"/>
      <c r="D83" s="10"/>
      <c r="E83" s="10"/>
      <c r="F83" s="10"/>
      <c r="G83" s="6"/>
      <c r="H83" s="6"/>
      <c r="I83" s="6"/>
      <c r="J83" s="6"/>
      <c r="K83" s="10"/>
      <c r="L83" s="10"/>
      <c r="M83" s="1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10"/>
      <c r="D84" s="10"/>
      <c r="E84" s="10"/>
      <c r="F84" s="10"/>
      <c r="G84" s="6"/>
      <c r="H84" s="6"/>
      <c r="I84" s="6"/>
      <c r="J84" s="6"/>
      <c r="K84" s="10"/>
      <c r="L84" s="10"/>
      <c r="M84" s="1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10"/>
      <c r="D85" s="10"/>
      <c r="E85" s="10"/>
      <c r="F85" s="10"/>
      <c r="G85" s="6"/>
      <c r="H85" s="6"/>
      <c r="I85" s="6"/>
      <c r="J85" s="6"/>
      <c r="K85" s="10"/>
      <c r="L85" s="10"/>
      <c r="M85" s="1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10"/>
      <c r="D86" s="10"/>
      <c r="E86" s="10"/>
      <c r="F86" s="10"/>
      <c r="G86" s="6"/>
      <c r="H86" s="6"/>
      <c r="I86" s="6"/>
      <c r="J86" s="6"/>
      <c r="K86" s="10"/>
      <c r="L86" s="10"/>
      <c r="M86" s="1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10"/>
      <c r="D87" s="10"/>
      <c r="E87" s="10"/>
      <c r="F87" s="10"/>
      <c r="G87" s="6"/>
      <c r="H87" s="6"/>
      <c r="I87" s="6"/>
      <c r="J87" s="6"/>
      <c r="K87" s="10"/>
      <c r="L87" s="10"/>
      <c r="M87" s="1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10"/>
      <c r="D88" s="10"/>
      <c r="E88" s="10"/>
      <c r="F88" s="10"/>
      <c r="G88" s="6"/>
      <c r="H88" s="6"/>
      <c r="I88" s="6"/>
      <c r="J88" s="6"/>
      <c r="K88" s="10"/>
      <c r="L88" s="10"/>
      <c r="M88" s="1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10"/>
      <c r="D89" s="10"/>
      <c r="E89" s="10"/>
      <c r="F89" s="10"/>
      <c r="G89" s="6"/>
      <c r="H89" s="6"/>
      <c r="I89" s="6"/>
      <c r="J89" s="6"/>
      <c r="K89" s="10"/>
      <c r="L89" s="10"/>
      <c r="M89" s="1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10"/>
      <c r="D90" s="10"/>
      <c r="E90" s="10"/>
      <c r="F90" s="10"/>
      <c r="G90" s="6"/>
      <c r="H90" s="6"/>
      <c r="I90" s="6"/>
      <c r="J90" s="6"/>
      <c r="K90" s="10"/>
      <c r="L90" s="10"/>
      <c r="M90" s="1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10"/>
      <c r="D91" s="10"/>
      <c r="E91" s="10"/>
      <c r="F91" s="10"/>
      <c r="G91" s="6"/>
      <c r="H91" s="6"/>
      <c r="I91" s="6"/>
      <c r="J91" s="6"/>
      <c r="K91" s="10"/>
      <c r="L91" s="10"/>
      <c r="M91" s="1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10"/>
      <c r="D92" s="10"/>
      <c r="E92" s="10"/>
      <c r="F92" s="10"/>
      <c r="G92" s="6"/>
      <c r="H92" s="6"/>
      <c r="I92" s="6"/>
      <c r="J92" s="6"/>
      <c r="K92" s="10"/>
      <c r="L92" s="10"/>
      <c r="M92" s="1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10"/>
      <c r="D93" s="10"/>
      <c r="E93" s="10"/>
      <c r="F93" s="10"/>
      <c r="G93" s="6"/>
      <c r="H93" s="6"/>
      <c r="I93" s="6"/>
      <c r="J93" s="6"/>
      <c r="K93" s="10"/>
      <c r="L93" s="10"/>
      <c r="M93" s="1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10"/>
      <c r="D94" s="10"/>
      <c r="E94" s="10"/>
      <c r="F94" s="10"/>
      <c r="G94" s="6"/>
      <c r="H94" s="6"/>
      <c r="I94" s="6"/>
      <c r="J94" s="6"/>
      <c r="K94" s="10"/>
      <c r="L94" s="10"/>
      <c r="M94" s="1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10"/>
      <c r="D95" s="10"/>
      <c r="E95" s="10"/>
      <c r="F95" s="10"/>
      <c r="G95" s="6"/>
      <c r="H95" s="6"/>
      <c r="I95" s="6"/>
      <c r="J95" s="6"/>
      <c r="K95" s="10"/>
      <c r="L95" s="10"/>
      <c r="M95" s="1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10"/>
      <c r="D96" s="10"/>
      <c r="E96" s="10"/>
      <c r="F96" s="10"/>
      <c r="G96" s="6"/>
      <c r="H96" s="6"/>
      <c r="I96" s="6"/>
      <c r="J96" s="6"/>
      <c r="K96" s="10"/>
      <c r="L96" s="10"/>
      <c r="M96" s="1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10"/>
      <c r="D97" s="10"/>
      <c r="E97" s="10"/>
      <c r="F97" s="10"/>
      <c r="G97" s="6"/>
      <c r="H97" s="6"/>
      <c r="I97" s="6"/>
      <c r="J97" s="6"/>
      <c r="K97" s="10"/>
      <c r="L97" s="10"/>
      <c r="M97" s="1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10"/>
      <c r="D98" s="10"/>
      <c r="E98" s="10"/>
      <c r="F98" s="10"/>
      <c r="G98" s="6"/>
      <c r="H98" s="6"/>
      <c r="I98" s="6"/>
      <c r="J98" s="6"/>
      <c r="K98" s="10"/>
      <c r="L98" s="10"/>
      <c r="M98" s="1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10"/>
      <c r="D99" s="10"/>
      <c r="E99" s="10"/>
      <c r="F99" s="10"/>
      <c r="G99" s="6"/>
      <c r="H99" s="6"/>
      <c r="I99" s="6"/>
      <c r="J99" s="6"/>
      <c r="K99" s="10"/>
      <c r="L99" s="10"/>
      <c r="M99" s="1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10"/>
      <c r="D100" s="10"/>
      <c r="E100" s="10"/>
      <c r="F100" s="10"/>
      <c r="G100" s="6"/>
      <c r="H100" s="6"/>
      <c r="I100" s="6"/>
      <c r="J100" s="6"/>
      <c r="K100" s="10"/>
      <c r="L100" s="10"/>
      <c r="M100" s="1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10"/>
      <c r="D101" s="10"/>
      <c r="E101" s="10"/>
      <c r="F101" s="10"/>
      <c r="G101" s="6"/>
      <c r="H101" s="6"/>
      <c r="I101" s="6"/>
      <c r="J101" s="6"/>
      <c r="K101" s="10"/>
      <c r="L101" s="10"/>
      <c r="M101" s="1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10"/>
      <c r="D102" s="10"/>
      <c r="E102" s="10"/>
      <c r="F102" s="10"/>
      <c r="G102" s="6"/>
      <c r="H102" s="6"/>
      <c r="I102" s="6"/>
      <c r="J102" s="6"/>
      <c r="K102" s="10"/>
      <c r="L102" s="10"/>
      <c r="M102" s="1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10"/>
      <c r="D103" s="10"/>
      <c r="E103" s="10"/>
      <c r="F103" s="10"/>
      <c r="G103" s="6"/>
      <c r="H103" s="6"/>
      <c r="I103" s="6"/>
      <c r="J103" s="6"/>
      <c r="K103" s="10"/>
      <c r="L103" s="10"/>
      <c r="M103" s="1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10"/>
      <c r="D104" s="10"/>
      <c r="E104" s="10"/>
      <c r="F104" s="10"/>
      <c r="G104" s="6"/>
      <c r="H104" s="6"/>
      <c r="I104" s="6"/>
      <c r="J104" s="6"/>
      <c r="K104" s="10"/>
      <c r="L104" s="10"/>
      <c r="M104" s="1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10"/>
      <c r="D105" s="10"/>
      <c r="E105" s="10"/>
      <c r="F105" s="10"/>
      <c r="G105" s="6"/>
      <c r="H105" s="6"/>
      <c r="I105" s="6"/>
      <c r="J105" s="6"/>
      <c r="K105" s="10"/>
      <c r="L105" s="10"/>
      <c r="M105" s="1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10"/>
      <c r="D106" s="10"/>
      <c r="E106" s="10"/>
      <c r="F106" s="10"/>
      <c r="G106" s="6"/>
      <c r="H106" s="6"/>
      <c r="I106" s="6"/>
      <c r="J106" s="6"/>
      <c r="K106" s="10"/>
      <c r="L106" s="10"/>
      <c r="M106" s="1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10"/>
      <c r="D107" s="10"/>
      <c r="E107" s="10"/>
      <c r="F107" s="10"/>
      <c r="G107" s="6"/>
      <c r="H107" s="6"/>
      <c r="I107" s="6"/>
      <c r="J107" s="6"/>
      <c r="K107" s="10"/>
      <c r="L107" s="10"/>
      <c r="M107" s="1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10"/>
      <c r="D108" s="10"/>
      <c r="E108" s="10"/>
      <c r="F108" s="10"/>
      <c r="G108" s="6"/>
      <c r="H108" s="6"/>
      <c r="I108" s="6"/>
      <c r="J108" s="6"/>
      <c r="K108" s="10"/>
      <c r="L108" s="10"/>
      <c r="M108" s="1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10"/>
      <c r="D109" s="10"/>
      <c r="E109" s="10"/>
      <c r="F109" s="10"/>
      <c r="G109" s="6"/>
      <c r="H109" s="6"/>
      <c r="I109" s="6"/>
      <c r="J109" s="6"/>
      <c r="K109" s="10"/>
      <c r="L109" s="10"/>
      <c r="M109" s="1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10"/>
      <c r="D110" s="10"/>
      <c r="E110" s="10"/>
      <c r="F110" s="10"/>
      <c r="G110" s="6"/>
      <c r="H110" s="6"/>
      <c r="I110" s="6"/>
      <c r="J110" s="6"/>
      <c r="K110" s="10"/>
      <c r="L110" s="10"/>
      <c r="M110" s="1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10"/>
      <c r="D111" s="10"/>
      <c r="E111" s="10"/>
      <c r="F111" s="10"/>
      <c r="G111" s="6"/>
      <c r="H111" s="6"/>
      <c r="I111" s="6"/>
      <c r="J111" s="6"/>
      <c r="K111" s="10"/>
      <c r="L111" s="10"/>
      <c r="M111" s="1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10"/>
      <c r="D112" s="10"/>
      <c r="E112" s="10"/>
      <c r="F112" s="10"/>
      <c r="G112" s="6"/>
      <c r="H112" s="6"/>
      <c r="I112" s="6"/>
      <c r="J112" s="6"/>
      <c r="K112" s="10"/>
      <c r="L112" s="10"/>
      <c r="M112" s="1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10"/>
      <c r="D113" s="10"/>
      <c r="E113" s="10"/>
      <c r="F113" s="10"/>
      <c r="G113" s="6"/>
      <c r="H113" s="6"/>
      <c r="I113" s="6"/>
      <c r="J113" s="6"/>
      <c r="K113" s="10"/>
      <c r="L113" s="10"/>
      <c r="M113" s="1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10"/>
      <c r="D114" s="10"/>
      <c r="E114" s="10"/>
      <c r="F114" s="10"/>
      <c r="G114" s="6"/>
      <c r="H114" s="6"/>
      <c r="I114" s="6"/>
      <c r="J114" s="6"/>
      <c r="K114" s="10"/>
      <c r="L114" s="10"/>
      <c r="M114" s="1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10"/>
      <c r="D115" s="10"/>
      <c r="E115" s="10"/>
      <c r="F115" s="10"/>
      <c r="G115" s="6"/>
      <c r="H115" s="6"/>
      <c r="I115" s="6"/>
      <c r="J115" s="6"/>
      <c r="K115" s="10"/>
      <c r="L115" s="10"/>
      <c r="M115" s="1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10"/>
      <c r="D116" s="10"/>
      <c r="E116" s="10"/>
      <c r="F116" s="10"/>
      <c r="G116" s="6"/>
      <c r="H116" s="6"/>
      <c r="I116" s="6"/>
      <c r="J116" s="6"/>
      <c r="K116" s="10"/>
      <c r="L116" s="10"/>
      <c r="M116" s="1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10"/>
      <c r="D117" s="10"/>
      <c r="E117" s="10"/>
      <c r="F117" s="10"/>
      <c r="G117" s="6"/>
      <c r="H117" s="6"/>
      <c r="I117" s="6"/>
      <c r="J117" s="6"/>
      <c r="K117" s="10"/>
      <c r="L117" s="10"/>
      <c r="M117" s="1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10"/>
      <c r="D118" s="10"/>
      <c r="E118" s="10"/>
      <c r="F118" s="10"/>
      <c r="G118" s="6"/>
      <c r="H118" s="6"/>
      <c r="I118" s="6"/>
      <c r="J118" s="6"/>
      <c r="K118" s="10"/>
      <c r="L118" s="10"/>
      <c r="M118" s="1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10"/>
      <c r="D119" s="10"/>
      <c r="E119" s="10"/>
      <c r="F119" s="10"/>
      <c r="G119" s="6"/>
      <c r="H119" s="6"/>
      <c r="I119" s="6"/>
      <c r="J119" s="6"/>
      <c r="K119" s="10"/>
      <c r="L119" s="10"/>
      <c r="M119" s="1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10"/>
      <c r="D120" s="10"/>
      <c r="E120" s="10"/>
      <c r="F120" s="10"/>
      <c r="G120" s="6"/>
      <c r="H120" s="6"/>
      <c r="I120" s="6"/>
      <c r="J120" s="6"/>
      <c r="K120" s="10"/>
      <c r="L120" s="10"/>
      <c r="M120" s="1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10"/>
      <c r="D121" s="10"/>
      <c r="E121" s="10"/>
      <c r="F121" s="10"/>
      <c r="G121" s="6"/>
      <c r="H121" s="6"/>
      <c r="I121" s="6"/>
      <c r="J121" s="6"/>
      <c r="K121" s="10"/>
      <c r="L121" s="10"/>
      <c r="M121" s="1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10"/>
      <c r="D122" s="10"/>
      <c r="E122" s="10"/>
      <c r="F122" s="10"/>
      <c r="G122" s="6"/>
      <c r="H122" s="6"/>
      <c r="I122" s="6"/>
      <c r="J122" s="6"/>
      <c r="K122" s="10"/>
      <c r="L122" s="10"/>
      <c r="M122" s="1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10"/>
      <c r="D123" s="10"/>
      <c r="E123" s="10"/>
      <c r="F123" s="10"/>
      <c r="G123" s="6"/>
      <c r="H123" s="6"/>
      <c r="I123" s="6"/>
      <c r="J123" s="6"/>
      <c r="K123" s="10"/>
      <c r="L123" s="10"/>
      <c r="M123" s="1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10"/>
      <c r="D124" s="10"/>
      <c r="E124" s="10"/>
      <c r="F124" s="10"/>
      <c r="G124" s="6"/>
      <c r="H124" s="6"/>
      <c r="I124" s="6"/>
      <c r="J124" s="6"/>
      <c r="K124" s="10"/>
      <c r="L124" s="10"/>
      <c r="M124" s="1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10"/>
      <c r="D125" s="10"/>
      <c r="E125" s="10"/>
      <c r="F125" s="10"/>
      <c r="G125" s="6"/>
      <c r="H125" s="6"/>
      <c r="I125" s="6"/>
      <c r="J125" s="6"/>
      <c r="K125" s="10"/>
      <c r="L125" s="10"/>
      <c r="M125" s="1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10"/>
      <c r="D126" s="10"/>
      <c r="E126" s="10"/>
      <c r="F126" s="10"/>
      <c r="G126" s="6"/>
      <c r="H126" s="6"/>
      <c r="I126" s="6"/>
      <c r="J126" s="6"/>
      <c r="K126" s="10"/>
      <c r="L126" s="10"/>
      <c r="M126" s="1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10"/>
      <c r="D127" s="10"/>
      <c r="E127" s="10"/>
      <c r="F127" s="10"/>
      <c r="G127" s="6"/>
      <c r="H127" s="6"/>
      <c r="I127" s="6"/>
      <c r="J127" s="6"/>
      <c r="K127" s="10"/>
      <c r="L127" s="10"/>
      <c r="M127" s="1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10"/>
      <c r="D128" s="10"/>
      <c r="E128" s="10"/>
      <c r="F128" s="10"/>
      <c r="G128" s="6"/>
      <c r="H128" s="6"/>
      <c r="I128" s="6"/>
      <c r="J128" s="6"/>
      <c r="K128" s="10"/>
      <c r="L128" s="10"/>
      <c r="M128" s="1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10"/>
      <c r="D129" s="10"/>
      <c r="E129" s="10"/>
      <c r="F129" s="10"/>
      <c r="G129" s="6"/>
      <c r="H129" s="6"/>
      <c r="I129" s="6"/>
      <c r="J129" s="6"/>
      <c r="K129" s="10"/>
      <c r="L129" s="10"/>
      <c r="M129" s="1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10"/>
      <c r="D130" s="10"/>
      <c r="E130" s="10"/>
      <c r="F130" s="10"/>
      <c r="G130" s="6"/>
      <c r="H130" s="6"/>
      <c r="I130" s="6"/>
      <c r="J130" s="6"/>
      <c r="K130" s="10"/>
      <c r="L130" s="10"/>
      <c r="M130" s="1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10"/>
      <c r="D131" s="10"/>
      <c r="E131" s="10"/>
      <c r="F131" s="10"/>
      <c r="G131" s="6"/>
      <c r="H131" s="6"/>
      <c r="I131" s="6"/>
      <c r="J131" s="6"/>
      <c r="K131" s="10"/>
      <c r="L131" s="10"/>
      <c r="M131" s="1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10"/>
      <c r="D132" s="10"/>
      <c r="E132" s="10"/>
      <c r="F132" s="10"/>
      <c r="G132" s="6"/>
      <c r="H132" s="6"/>
      <c r="I132" s="6"/>
      <c r="J132" s="6"/>
      <c r="K132" s="10"/>
      <c r="L132" s="10"/>
      <c r="M132" s="1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10"/>
      <c r="D133" s="10"/>
      <c r="E133" s="10"/>
      <c r="F133" s="10"/>
      <c r="G133" s="6"/>
      <c r="H133" s="6"/>
      <c r="I133" s="6"/>
      <c r="J133" s="6"/>
      <c r="K133" s="10"/>
      <c r="L133" s="10"/>
      <c r="M133" s="1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10"/>
      <c r="D134" s="10"/>
      <c r="E134" s="10"/>
      <c r="F134" s="10"/>
      <c r="G134" s="6"/>
      <c r="H134" s="6"/>
      <c r="I134" s="6"/>
      <c r="J134" s="6"/>
      <c r="K134" s="10"/>
      <c r="L134" s="10"/>
      <c r="M134" s="1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10"/>
      <c r="D135" s="10"/>
      <c r="E135" s="10"/>
      <c r="F135" s="10"/>
      <c r="G135" s="6"/>
      <c r="H135" s="6"/>
      <c r="I135" s="6"/>
      <c r="J135" s="6"/>
      <c r="K135" s="10"/>
      <c r="L135" s="10"/>
      <c r="M135" s="1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10"/>
      <c r="D136" s="10"/>
      <c r="E136" s="10"/>
      <c r="F136" s="10"/>
      <c r="G136" s="6"/>
      <c r="H136" s="6"/>
      <c r="I136" s="6"/>
      <c r="J136" s="6"/>
      <c r="K136" s="10"/>
      <c r="L136" s="10"/>
      <c r="M136" s="1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10"/>
      <c r="D137" s="10"/>
      <c r="E137" s="10"/>
      <c r="F137" s="10"/>
      <c r="G137" s="6"/>
      <c r="H137" s="6"/>
      <c r="I137" s="6"/>
      <c r="J137" s="6"/>
      <c r="K137" s="10"/>
      <c r="L137" s="10"/>
      <c r="M137" s="1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10"/>
      <c r="D138" s="10"/>
      <c r="E138" s="10"/>
      <c r="F138" s="10"/>
      <c r="G138" s="6"/>
      <c r="H138" s="6"/>
      <c r="I138" s="6"/>
      <c r="J138" s="6"/>
      <c r="K138" s="10"/>
      <c r="L138" s="10"/>
      <c r="M138" s="1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10"/>
      <c r="D139" s="10"/>
      <c r="E139" s="10"/>
      <c r="F139" s="10"/>
      <c r="G139" s="6"/>
      <c r="H139" s="6"/>
      <c r="I139" s="6"/>
      <c r="J139" s="6"/>
      <c r="K139" s="10"/>
      <c r="L139" s="10"/>
      <c r="M139" s="1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10"/>
      <c r="D140" s="10"/>
      <c r="E140" s="10"/>
      <c r="F140" s="10"/>
      <c r="G140" s="6"/>
      <c r="H140" s="6"/>
      <c r="I140" s="6"/>
      <c r="J140" s="6"/>
      <c r="K140" s="10"/>
      <c r="L140" s="10"/>
      <c r="M140" s="1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10"/>
      <c r="D141" s="10"/>
      <c r="E141" s="10"/>
      <c r="F141" s="10"/>
      <c r="G141" s="6"/>
      <c r="H141" s="6"/>
      <c r="I141" s="6"/>
      <c r="J141" s="6"/>
      <c r="K141" s="10"/>
      <c r="L141" s="10"/>
      <c r="M141" s="1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10"/>
      <c r="D142" s="10"/>
      <c r="E142" s="10"/>
      <c r="F142" s="10"/>
      <c r="G142" s="6"/>
      <c r="H142" s="6"/>
      <c r="I142" s="6"/>
      <c r="J142" s="6"/>
      <c r="K142" s="10"/>
      <c r="L142" s="10"/>
      <c r="M142" s="1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10"/>
      <c r="D143" s="10"/>
      <c r="E143" s="10"/>
      <c r="F143" s="10"/>
      <c r="G143" s="6"/>
      <c r="H143" s="6"/>
      <c r="I143" s="6"/>
      <c r="J143" s="6"/>
      <c r="K143" s="10"/>
      <c r="L143" s="10"/>
      <c r="M143" s="1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10"/>
      <c r="D144" s="10"/>
      <c r="E144" s="10"/>
      <c r="F144" s="10"/>
      <c r="G144" s="6"/>
      <c r="H144" s="6"/>
      <c r="I144" s="6"/>
      <c r="J144" s="6"/>
      <c r="K144" s="10"/>
      <c r="L144" s="10"/>
      <c r="M144" s="1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10"/>
      <c r="D145" s="10"/>
      <c r="E145" s="10"/>
      <c r="F145" s="10"/>
      <c r="G145" s="6"/>
      <c r="H145" s="6"/>
      <c r="I145" s="6"/>
      <c r="J145" s="6"/>
      <c r="K145" s="10"/>
      <c r="L145" s="10"/>
      <c r="M145" s="1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10"/>
      <c r="D146" s="10"/>
      <c r="E146" s="10"/>
      <c r="F146" s="10"/>
      <c r="G146" s="6"/>
      <c r="H146" s="6"/>
      <c r="I146" s="6"/>
      <c r="J146" s="6"/>
      <c r="K146" s="10"/>
      <c r="L146" s="10"/>
      <c r="M146" s="1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10"/>
      <c r="D147" s="10"/>
      <c r="E147" s="10"/>
      <c r="F147" s="10"/>
      <c r="G147" s="6"/>
      <c r="H147" s="6"/>
      <c r="I147" s="6"/>
      <c r="J147" s="6"/>
      <c r="K147" s="10"/>
      <c r="L147" s="10"/>
      <c r="M147" s="1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10"/>
      <c r="D148" s="10"/>
      <c r="E148" s="10"/>
      <c r="F148" s="10"/>
      <c r="G148" s="6"/>
      <c r="H148" s="6"/>
      <c r="I148" s="6"/>
      <c r="J148" s="6"/>
      <c r="K148" s="10"/>
      <c r="L148" s="10"/>
      <c r="M148" s="1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10"/>
      <c r="D149" s="10"/>
      <c r="E149" s="10"/>
      <c r="F149" s="10"/>
      <c r="G149" s="6"/>
      <c r="H149" s="6"/>
      <c r="I149" s="6"/>
      <c r="J149" s="6"/>
      <c r="K149" s="10"/>
      <c r="L149" s="10"/>
      <c r="M149" s="1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10"/>
      <c r="D150" s="10"/>
      <c r="E150" s="10"/>
      <c r="F150" s="10"/>
      <c r="G150" s="6"/>
      <c r="H150" s="6"/>
      <c r="I150" s="6"/>
      <c r="J150" s="6"/>
      <c r="K150" s="10"/>
      <c r="L150" s="10"/>
      <c r="M150" s="1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10"/>
      <c r="D151" s="10"/>
      <c r="E151" s="10"/>
      <c r="F151" s="10"/>
      <c r="G151" s="6"/>
      <c r="H151" s="6"/>
      <c r="I151" s="6"/>
      <c r="J151" s="6"/>
      <c r="K151" s="10"/>
      <c r="L151" s="10"/>
      <c r="M151" s="1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10"/>
      <c r="D152" s="10"/>
      <c r="E152" s="10"/>
      <c r="F152" s="10"/>
      <c r="G152" s="6"/>
      <c r="H152" s="6"/>
      <c r="I152" s="6"/>
      <c r="J152" s="6"/>
      <c r="K152" s="10"/>
      <c r="L152" s="10"/>
      <c r="M152" s="1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10"/>
      <c r="D153" s="10"/>
      <c r="E153" s="10"/>
      <c r="F153" s="10"/>
      <c r="G153" s="6"/>
      <c r="H153" s="6"/>
      <c r="I153" s="6"/>
      <c r="J153" s="6"/>
      <c r="K153" s="10"/>
      <c r="L153" s="10"/>
      <c r="M153" s="1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10"/>
      <c r="D154" s="10"/>
      <c r="E154" s="10"/>
      <c r="F154" s="10"/>
      <c r="G154" s="6"/>
      <c r="H154" s="6"/>
      <c r="I154" s="6"/>
      <c r="J154" s="6"/>
      <c r="K154" s="10"/>
      <c r="L154" s="10"/>
      <c r="M154" s="1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10"/>
      <c r="D155" s="10"/>
      <c r="E155" s="10"/>
      <c r="F155" s="10"/>
      <c r="G155" s="6"/>
      <c r="H155" s="6"/>
      <c r="I155" s="6"/>
      <c r="J155" s="6"/>
      <c r="K155" s="10"/>
      <c r="L155" s="10"/>
      <c r="M155" s="1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10"/>
      <c r="D156" s="10"/>
      <c r="E156" s="10"/>
      <c r="F156" s="10"/>
      <c r="G156" s="6"/>
      <c r="H156" s="6"/>
      <c r="I156" s="6"/>
      <c r="J156" s="6"/>
      <c r="K156" s="10"/>
      <c r="L156" s="10"/>
      <c r="M156" s="1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10"/>
      <c r="D157" s="10"/>
      <c r="E157" s="10"/>
      <c r="F157" s="10"/>
      <c r="G157" s="6"/>
      <c r="H157" s="6"/>
      <c r="I157" s="6"/>
      <c r="J157" s="6"/>
      <c r="K157" s="10"/>
      <c r="L157" s="10"/>
      <c r="M157" s="1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10"/>
      <c r="D158" s="10"/>
      <c r="E158" s="10"/>
      <c r="F158" s="10"/>
      <c r="G158" s="6"/>
      <c r="H158" s="6"/>
      <c r="I158" s="6"/>
      <c r="J158" s="6"/>
      <c r="K158" s="10"/>
      <c r="L158" s="10"/>
      <c r="M158" s="1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10"/>
      <c r="D159" s="10"/>
      <c r="E159" s="10"/>
      <c r="F159" s="10"/>
      <c r="G159" s="6"/>
      <c r="H159" s="6"/>
      <c r="I159" s="6"/>
      <c r="J159" s="6"/>
      <c r="K159" s="10"/>
      <c r="L159" s="10"/>
      <c r="M159" s="1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10"/>
      <c r="D160" s="10"/>
      <c r="E160" s="10"/>
      <c r="F160" s="10"/>
      <c r="G160" s="6"/>
      <c r="H160" s="6"/>
      <c r="I160" s="6"/>
      <c r="J160" s="6"/>
      <c r="K160" s="10"/>
      <c r="L160" s="10"/>
      <c r="M160" s="1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10"/>
      <c r="D161" s="10"/>
      <c r="E161" s="10"/>
      <c r="F161" s="10"/>
      <c r="G161" s="6"/>
      <c r="H161" s="6"/>
      <c r="I161" s="6"/>
      <c r="J161" s="6"/>
      <c r="K161" s="10"/>
      <c r="L161" s="10"/>
      <c r="M161" s="1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10"/>
      <c r="D162" s="10"/>
      <c r="E162" s="10"/>
      <c r="F162" s="10"/>
      <c r="G162" s="6"/>
      <c r="H162" s="6"/>
      <c r="I162" s="6"/>
      <c r="J162" s="6"/>
      <c r="K162" s="10"/>
      <c r="L162" s="10"/>
      <c r="M162" s="1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10"/>
      <c r="D163" s="10"/>
      <c r="E163" s="10"/>
      <c r="F163" s="10"/>
      <c r="G163" s="6"/>
      <c r="H163" s="6"/>
      <c r="I163" s="6"/>
      <c r="J163" s="6"/>
      <c r="K163" s="10"/>
      <c r="L163" s="10"/>
      <c r="M163" s="1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10"/>
      <c r="D164" s="10"/>
      <c r="E164" s="10"/>
      <c r="F164" s="10"/>
      <c r="G164" s="6"/>
      <c r="H164" s="6"/>
      <c r="I164" s="6"/>
      <c r="J164" s="6"/>
      <c r="K164" s="10"/>
      <c r="L164" s="10"/>
      <c r="M164" s="1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10"/>
      <c r="D165" s="10"/>
      <c r="E165" s="10"/>
      <c r="F165" s="10"/>
      <c r="G165" s="6"/>
      <c r="H165" s="6"/>
      <c r="I165" s="6"/>
      <c r="J165" s="6"/>
      <c r="K165" s="10"/>
      <c r="L165" s="10"/>
      <c r="M165" s="1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10"/>
      <c r="D166" s="10"/>
      <c r="E166" s="10"/>
      <c r="F166" s="10"/>
      <c r="G166" s="6"/>
      <c r="H166" s="6"/>
      <c r="I166" s="6"/>
      <c r="J166" s="6"/>
      <c r="K166" s="10"/>
      <c r="L166" s="10"/>
      <c r="M166" s="1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10"/>
      <c r="D167" s="10"/>
      <c r="E167" s="10"/>
      <c r="F167" s="10"/>
      <c r="G167" s="6"/>
      <c r="H167" s="6"/>
      <c r="I167" s="6"/>
      <c r="J167" s="6"/>
      <c r="K167" s="10"/>
      <c r="L167" s="10"/>
      <c r="M167" s="1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10"/>
      <c r="D168" s="10"/>
      <c r="E168" s="10"/>
      <c r="F168" s="10"/>
      <c r="G168" s="6"/>
      <c r="H168" s="6"/>
      <c r="I168" s="6"/>
      <c r="J168" s="6"/>
      <c r="K168" s="10"/>
      <c r="L168" s="10"/>
      <c r="M168" s="1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10"/>
      <c r="D169" s="10"/>
      <c r="E169" s="10"/>
      <c r="F169" s="10"/>
      <c r="G169" s="6"/>
      <c r="H169" s="6"/>
      <c r="I169" s="6"/>
      <c r="J169" s="6"/>
      <c r="K169" s="10"/>
      <c r="L169" s="10"/>
      <c r="M169" s="1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10"/>
      <c r="D170" s="10"/>
      <c r="E170" s="10"/>
      <c r="F170" s="10"/>
      <c r="G170" s="6"/>
      <c r="H170" s="6"/>
      <c r="I170" s="6"/>
      <c r="J170" s="6"/>
      <c r="K170" s="10"/>
      <c r="L170" s="10"/>
      <c r="M170" s="1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10"/>
      <c r="D171" s="10"/>
      <c r="E171" s="10"/>
      <c r="F171" s="10"/>
      <c r="G171" s="6"/>
      <c r="H171" s="6"/>
      <c r="I171" s="6"/>
      <c r="J171" s="6"/>
      <c r="K171" s="10"/>
      <c r="L171" s="10"/>
      <c r="M171" s="1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10"/>
      <c r="D172" s="10"/>
      <c r="E172" s="10"/>
      <c r="F172" s="10"/>
      <c r="G172" s="6"/>
      <c r="H172" s="6"/>
      <c r="I172" s="6"/>
      <c r="J172" s="6"/>
      <c r="K172" s="10"/>
      <c r="L172" s="10"/>
      <c r="M172" s="1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10"/>
      <c r="D173" s="10"/>
      <c r="E173" s="10"/>
      <c r="F173" s="10"/>
      <c r="G173" s="6"/>
      <c r="H173" s="6"/>
      <c r="I173" s="6"/>
      <c r="J173" s="6"/>
      <c r="K173" s="10"/>
      <c r="L173" s="10"/>
      <c r="M173" s="1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10"/>
      <c r="D174" s="10"/>
      <c r="E174" s="10"/>
      <c r="F174" s="10"/>
      <c r="G174" s="6"/>
      <c r="H174" s="6"/>
      <c r="I174" s="6"/>
      <c r="J174" s="6"/>
      <c r="K174" s="10"/>
      <c r="L174" s="10"/>
      <c r="M174" s="1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10"/>
      <c r="D175" s="10"/>
      <c r="E175" s="10"/>
      <c r="F175" s="10"/>
      <c r="G175" s="6"/>
      <c r="H175" s="6"/>
      <c r="I175" s="6"/>
      <c r="J175" s="6"/>
      <c r="K175" s="10"/>
      <c r="L175" s="10"/>
      <c r="M175" s="1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10"/>
      <c r="D176" s="10"/>
      <c r="E176" s="10"/>
      <c r="F176" s="10"/>
      <c r="G176" s="6"/>
      <c r="H176" s="6"/>
      <c r="I176" s="6"/>
      <c r="J176" s="6"/>
      <c r="K176" s="10"/>
      <c r="L176" s="10"/>
      <c r="M176" s="1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10"/>
      <c r="D177" s="10"/>
      <c r="E177" s="10"/>
      <c r="F177" s="10"/>
      <c r="G177" s="6"/>
      <c r="H177" s="6"/>
      <c r="I177" s="6"/>
      <c r="J177" s="6"/>
      <c r="K177" s="10"/>
      <c r="L177" s="10"/>
      <c r="M177" s="1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10"/>
      <c r="D178" s="10"/>
      <c r="E178" s="10"/>
      <c r="F178" s="10"/>
      <c r="G178" s="6"/>
      <c r="H178" s="6"/>
      <c r="I178" s="6"/>
      <c r="J178" s="6"/>
      <c r="K178" s="10"/>
      <c r="L178" s="10"/>
      <c r="M178" s="1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10"/>
      <c r="D179" s="10"/>
      <c r="E179" s="10"/>
      <c r="F179" s="10"/>
      <c r="G179" s="6"/>
      <c r="H179" s="6"/>
      <c r="I179" s="6"/>
      <c r="J179" s="6"/>
      <c r="K179" s="10"/>
      <c r="L179" s="10"/>
      <c r="M179" s="1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10"/>
      <c r="D180" s="10"/>
      <c r="E180" s="10"/>
      <c r="F180" s="10"/>
      <c r="G180" s="6"/>
      <c r="H180" s="6"/>
      <c r="I180" s="6"/>
      <c r="J180" s="6"/>
      <c r="K180" s="10"/>
      <c r="L180" s="10"/>
      <c r="M180" s="1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10"/>
      <c r="D181" s="10"/>
      <c r="E181" s="10"/>
      <c r="F181" s="10"/>
      <c r="G181" s="6"/>
      <c r="H181" s="6"/>
      <c r="I181" s="6"/>
      <c r="J181" s="6"/>
      <c r="K181" s="10"/>
      <c r="L181" s="10"/>
      <c r="M181" s="1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10"/>
      <c r="D182" s="10"/>
      <c r="E182" s="10"/>
      <c r="F182" s="10"/>
      <c r="G182" s="6"/>
      <c r="H182" s="6"/>
      <c r="I182" s="6"/>
      <c r="J182" s="6"/>
      <c r="K182" s="10"/>
      <c r="L182" s="10"/>
      <c r="M182" s="1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10"/>
      <c r="D183" s="10"/>
      <c r="E183" s="10"/>
      <c r="F183" s="10"/>
      <c r="G183" s="6"/>
      <c r="H183" s="6"/>
      <c r="I183" s="6"/>
      <c r="J183" s="6"/>
      <c r="K183" s="10"/>
      <c r="L183" s="10"/>
      <c r="M183" s="1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10"/>
      <c r="D184" s="10"/>
      <c r="E184" s="10"/>
      <c r="F184" s="10"/>
      <c r="G184" s="6"/>
      <c r="H184" s="6"/>
      <c r="I184" s="6"/>
      <c r="J184" s="6"/>
      <c r="K184" s="10"/>
      <c r="L184" s="10"/>
      <c r="M184" s="1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10"/>
      <c r="D185" s="10"/>
      <c r="E185" s="10"/>
      <c r="F185" s="10"/>
      <c r="G185" s="6"/>
      <c r="H185" s="6"/>
      <c r="I185" s="6"/>
      <c r="J185" s="6"/>
      <c r="K185" s="10"/>
      <c r="L185" s="10"/>
      <c r="M185" s="1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10"/>
      <c r="D186" s="10"/>
      <c r="E186" s="10"/>
      <c r="F186" s="10"/>
      <c r="G186" s="6"/>
      <c r="H186" s="6"/>
      <c r="I186" s="6"/>
      <c r="J186" s="6"/>
      <c r="K186" s="10"/>
      <c r="L186" s="10"/>
      <c r="M186" s="1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10"/>
      <c r="D187" s="10"/>
      <c r="E187" s="10"/>
      <c r="F187" s="10"/>
      <c r="G187" s="6"/>
      <c r="H187" s="6"/>
      <c r="I187" s="6"/>
      <c r="J187" s="6"/>
      <c r="K187" s="10"/>
      <c r="L187" s="10"/>
      <c r="M187" s="1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10"/>
      <c r="D188" s="10"/>
      <c r="E188" s="10"/>
      <c r="F188" s="10"/>
      <c r="G188" s="6"/>
      <c r="H188" s="6"/>
      <c r="I188" s="6"/>
      <c r="J188" s="6"/>
      <c r="K188" s="10"/>
      <c r="L188" s="10"/>
      <c r="M188" s="1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10"/>
      <c r="D189" s="10"/>
      <c r="E189" s="10"/>
      <c r="F189" s="10"/>
      <c r="G189" s="6"/>
      <c r="H189" s="6"/>
      <c r="I189" s="6"/>
      <c r="J189" s="6"/>
      <c r="K189" s="10"/>
      <c r="L189" s="10"/>
      <c r="M189" s="1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10"/>
      <c r="D190" s="10"/>
      <c r="E190" s="10"/>
      <c r="F190" s="10"/>
      <c r="G190" s="6"/>
      <c r="H190" s="6"/>
      <c r="I190" s="6"/>
      <c r="J190" s="6"/>
      <c r="K190" s="10"/>
      <c r="L190" s="10"/>
      <c r="M190" s="1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10"/>
      <c r="D191" s="10"/>
      <c r="E191" s="10"/>
      <c r="F191" s="10"/>
      <c r="G191" s="6"/>
      <c r="H191" s="6"/>
      <c r="I191" s="6"/>
      <c r="J191" s="6"/>
      <c r="K191" s="10"/>
      <c r="L191" s="10"/>
      <c r="M191" s="1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10"/>
      <c r="D192" s="10"/>
      <c r="E192" s="10"/>
      <c r="F192" s="10"/>
      <c r="G192" s="6"/>
      <c r="H192" s="6"/>
      <c r="I192" s="6"/>
      <c r="J192" s="6"/>
      <c r="K192" s="10"/>
      <c r="L192" s="10"/>
      <c r="M192" s="1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10"/>
      <c r="D193" s="10"/>
      <c r="E193" s="10"/>
      <c r="F193" s="10"/>
      <c r="G193" s="6"/>
      <c r="H193" s="6"/>
      <c r="I193" s="6"/>
      <c r="J193" s="6"/>
      <c r="K193" s="10"/>
      <c r="L193" s="10"/>
      <c r="M193" s="1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10"/>
      <c r="D194" s="10"/>
      <c r="E194" s="10"/>
      <c r="F194" s="10"/>
      <c r="G194" s="6"/>
      <c r="H194" s="6"/>
      <c r="I194" s="6"/>
      <c r="J194" s="6"/>
      <c r="K194" s="10"/>
      <c r="L194" s="10"/>
      <c r="M194" s="1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10"/>
      <c r="D195" s="10"/>
      <c r="E195" s="10"/>
      <c r="F195" s="10"/>
      <c r="G195" s="6"/>
      <c r="H195" s="6"/>
      <c r="I195" s="6"/>
      <c r="J195" s="6"/>
      <c r="K195" s="10"/>
      <c r="L195" s="10"/>
      <c r="M195" s="1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10"/>
      <c r="D196" s="10"/>
      <c r="E196" s="10"/>
      <c r="F196" s="10"/>
      <c r="G196" s="6"/>
      <c r="H196" s="6"/>
      <c r="I196" s="6"/>
      <c r="J196" s="6"/>
      <c r="K196" s="10"/>
      <c r="L196" s="10"/>
      <c r="M196" s="1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10"/>
      <c r="D197" s="10"/>
      <c r="E197" s="10"/>
      <c r="F197" s="10"/>
      <c r="G197" s="6"/>
      <c r="H197" s="6"/>
      <c r="I197" s="6"/>
      <c r="J197" s="6"/>
      <c r="K197" s="10"/>
      <c r="L197" s="10"/>
      <c r="M197" s="1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10"/>
      <c r="D198" s="10"/>
      <c r="E198" s="10"/>
      <c r="F198" s="10"/>
      <c r="G198" s="6"/>
      <c r="H198" s="6"/>
      <c r="I198" s="6"/>
      <c r="J198" s="6"/>
      <c r="K198" s="10"/>
      <c r="L198" s="10"/>
      <c r="M198" s="1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10"/>
      <c r="D199" s="10"/>
      <c r="E199" s="10"/>
      <c r="F199" s="10"/>
      <c r="G199" s="6"/>
      <c r="H199" s="6"/>
      <c r="I199" s="6"/>
      <c r="J199" s="6"/>
      <c r="K199" s="10"/>
      <c r="L199" s="10"/>
      <c r="M199" s="1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10"/>
      <c r="D200" s="10"/>
      <c r="E200" s="10"/>
      <c r="F200" s="10"/>
      <c r="G200" s="6"/>
      <c r="H200" s="6"/>
      <c r="I200" s="6"/>
      <c r="J200" s="6"/>
      <c r="K200" s="10"/>
      <c r="L200" s="10"/>
      <c r="M200" s="1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10"/>
      <c r="D201" s="10"/>
      <c r="E201" s="10"/>
      <c r="F201" s="10"/>
      <c r="G201" s="6"/>
      <c r="H201" s="6"/>
      <c r="I201" s="6"/>
      <c r="J201" s="6"/>
      <c r="K201" s="10"/>
      <c r="L201" s="10"/>
      <c r="M201" s="1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10"/>
      <c r="D202" s="10"/>
      <c r="E202" s="10"/>
      <c r="F202" s="10"/>
      <c r="G202" s="6"/>
      <c r="H202" s="6"/>
      <c r="I202" s="6"/>
      <c r="J202" s="6"/>
      <c r="K202" s="10"/>
      <c r="L202" s="10"/>
      <c r="M202" s="1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10"/>
      <c r="D203" s="10"/>
      <c r="E203" s="10"/>
      <c r="F203" s="10"/>
      <c r="G203" s="6"/>
      <c r="H203" s="6"/>
      <c r="I203" s="6"/>
      <c r="J203" s="6"/>
      <c r="K203" s="10"/>
      <c r="L203" s="10"/>
      <c r="M203" s="1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10"/>
      <c r="D204" s="10"/>
      <c r="E204" s="10"/>
      <c r="F204" s="10"/>
      <c r="G204" s="6"/>
      <c r="H204" s="6"/>
      <c r="I204" s="6"/>
      <c r="J204" s="6"/>
      <c r="K204" s="10"/>
      <c r="L204" s="10"/>
      <c r="M204" s="1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10"/>
      <c r="D205" s="10"/>
      <c r="E205" s="10"/>
      <c r="F205" s="10"/>
      <c r="G205" s="6"/>
      <c r="H205" s="6"/>
      <c r="I205" s="6"/>
      <c r="J205" s="6"/>
      <c r="K205" s="10"/>
      <c r="L205" s="10"/>
      <c r="M205" s="1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10"/>
      <c r="D206" s="10"/>
      <c r="E206" s="10"/>
      <c r="F206" s="10"/>
      <c r="G206" s="6"/>
      <c r="H206" s="6"/>
      <c r="I206" s="6"/>
      <c r="J206" s="6"/>
      <c r="K206" s="10"/>
      <c r="L206" s="10"/>
      <c r="M206" s="1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10"/>
      <c r="D207" s="10"/>
      <c r="E207" s="10"/>
      <c r="F207" s="10"/>
      <c r="G207" s="6"/>
      <c r="H207" s="6"/>
      <c r="I207" s="6"/>
      <c r="J207" s="6"/>
      <c r="K207" s="10"/>
      <c r="L207" s="10"/>
      <c r="M207" s="1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10"/>
      <c r="D208" s="10"/>
      <c r="E208" s="10"/>
      <c r="F208" s="10"/>
      <c r="G208" s="6"/>
      <c r="H208" s="6"/>
      <c r="I208" s="6"/>
      <c r="J208" s="6"/>
      <c r="K208" s="10"/>
      <c r="L208" s="10"/>
      <c r="M208" s="1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10"/>
      <c r="D209" s="10"/>
      <c r="E209" s="10"/>
      <c r="F209" s="10"/>
      <c r="G209" s="6"/>
      <c r="H209" s="6"/>
      <c r="I209" s="6"/>
      <c r="J209" s="6"/>
      <c r="K209" s="10"/>
      <c r="L209" s="10"/>
      <c r="M209" s="1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10"/>
      <c r="D210" s="10"/>
      <c r="E210" s="10"/>
      <c r="F210" s="10"/>
      <c r="G210" s="6"/>
      <c r="H210" s="6"/>
      <c r="I210" s="6"/>
      <c r="J210" s="6"/>
      <c r="K210" s="10"/>
      <c r="L210" s="10"/>
      <c r="M210" s="1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10"/>
      <c r="D211" s="10"/>
      <c r="E211" s="10"/>
      <c r="F211" s="10"/>
      <c r="G211" s="6"/>
      <c r="H211" s="6"/>
      <c r="I211" s="6"/>
      <c r="J211" s="6"/>
      <c r="K211" s="10"/>
      <c r="L211" s="10"/>
      <c r="M211" s="1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10"/>
      <c r="D212" s="10"/>
      <c r="E212" s="10"/>
      <c r="F212" s="10"/>
      <c r="G212" s="6"/>
      <c r="H212" s="6"/>
      <c r="I212" s="6"/>
      <c r="J212" s="6"/>
      <c r="K212" s="10"/>
      <c r="L212" s="10"/>
      <c r="M212" s="1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10"/>
      <c r="D213" s="10"/>
      <c r="E213" s="10"/>
      <c r="F213" s="10"/>
      <c r="G213" s="6"/>
      <c r="H213" s="6"/>
      <c r="I213" s="6"/>
      <c r="J213" s="6"/>
      <c r="K213" s="10"/>
      <c r="L213" s="10"/>
      <c r="M213" s="1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10"/>
      <c r="D214" s="10"/>
      <c r="E214" s="10"/>
      <c r="F214" s="10"/>
      <c r="G214" s="6"/>
      <c r="H214" s="6"/>
      <c r="I214" s="6"/>
      <c r="J214" s="6"/>
      <c r="K214" s="10"/>
      <c r="L214" s="10"/>
      <c r="M214" s="1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10"/>
      <c r="D215" s="10"/>
      <c r="E215" s="10"/>
      <c r="F215" s="10"/>
      <c r="G215" s="6"/>
      <c r="H215" s="6"/>
      <c r="I215" s="6"/>
      <c r="J215" s="6"/>
      <c r="K215" s="10"/>
      <c r="L215" s="10"/>
      <c r="M215" s="1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10"/>
      <c r="D216" s="10"/>
      <c r="E216" s="10"/>
      <c r="F216" s="10"/>
      <c r="G216" s="6"/>
      <c r="H216" s="6"/>
      <c r="I216" s="6"/>
      <c r="J216" s="6"/>
      <c r="K216" s="10"/>
      <c r="L216" s="10"/>
      <c r="M216" s="1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10"/>
      <c r="D217" s="10"/>
      <c r="E217" s="10"/>
      <c r="F217" s="10"/>
      <c r="G217" s="6"/>
      <c r="H217" s="6"/>
      <c r="I217" s="6"/>
      <c r="J217" s="6"/>
      <c r="K217" s="10"/>
      <c r="L217" s="10"/>
      <c r="M217" s="1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10"/>
      <c r="D218" s="10"/>
      <c r="E218" s="10"/>
      <c r="F218" s="10"/>
      <c r="G218" s="6"/>
      <c r="H218" s="6"/>
      <c r="I218" s="6"/>
      <c r="J218" s="6"/>
      <c r="K218" s="10"/>
      <c r="L218" s="10"/>
      <c r="M218" s="1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10"/>
      <c r="D219" s="10"/>
      <c r="E219" s="10"/>
      <c r="F219" s="10"/>
      <c r="G219" s="6"/>
      <c r="H219" s="6"/>
      <c r="I219" s="6"/>
      <c r="J219" s="6"/>
      <c r="K219" s="10"/>
      <c r="L219" s="10"/>
      <c r="M219" s="1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10"/>
      <c r="D220" s="10"/>
      <c r="E220" s="10"/>
      <c r="F220" s="10"/>
      <c r="G220" s="6"/>
      <c r="H220" s="6"/>
      <c r="I220" s="6"/>
      <c r="J220" s="6"/>
      <c r="K220" s="10"/>
      <c r="L220" s="10"/>
      <c r="M220" s="1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10"/>
      <c r="D221" s="10"/>
      <c r="E221" s="10"/>
      <c r="F221" s="10"/>
      <c r="G221" s="6"/>
      <c r="H221" s="6"/>
      <c r="I221" s="6"/>
      <c r="J221" s="6"/>
      <c r="K221" s="10"/>
      <c r="L221" s="10"/>
      <c r="M221" s="1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10"/>
      <c r="D222" s="10"/>
      <c r="E222" s="10"/>
      <c r="F222" s="10"/>
      <c r="G222" s="6"/>
      <c r="H222" s="6"/>
      <c r="I222" s="6"/>
      <c r="J222" s="6"/>
      <c r="K222" s="10"/>
      <c r="L222" s="10"/>
      <c r="M222" s="1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10"/>
      <c r="D223" s="10"/>
      <c r="E223" s="10"/>
      <c r="F223" s="10"/>
      <c r="G223" s="6"/>
      <c r="H223" s="6"/>
      <c r="I223" s="6"/>
      <c r="J223" s="6"/>
      <c r="K223" s="10"/>
      <c r="L223" s="10"/>
      <c r="M223" s="1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10"/>
      <c r="D224" s="10"/>
      <c r="E224" s="10"/>
      <c r="F224" s="10"/>
      <c r="G224" s="6"/>
      <c r="H224" s="6"/>
      <c r="I224" s="6"/>
      <c r="J224" s="6"/>
      <c r="K224" s="10"/>
      <c r="L224" s="10"/>
      <c r="M224" s="1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10"/>
      <c r="D225" s="10"/>
      <c r="E225" s="10"/>
      <c r="F225" s="10"/>
      <c r="G225" s="6"/>
      <c r="H225" s="6"/>
      <c r="I225" s="6"/>
      <c r="J225" s="6"/>
      <c r="K225" s="10"/>
      <c r="L225" s="10"/>
      <c r="M225" s="1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10"/>
      <c r="D226" s="10"/>
      <c r="E226" s="10"/>
      <c r="F226" s="10"/>
      <c r="G226" s="6"/>
      <c r="H226" s="6"/>
      <c r="I226" s="6"/>
      <c r="J226" s="6"/>
      <c r="K226" s="10"/>
      <c r="L226" s="10"/>
      <c r="M226" s="1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10"/>
      <c r="D227" s="10"/>
      <c r="E227" s="10"/>
      <c r="F227" s="10"/>
      <c r="G227" s="6"/>
      <c r="H227" s="6"/>
      <c r="I227" s="6"/>
      <c r="J227" s="6"/>
      <c r="K227" s="10"/>
      <c r="L227" s="10"/>
      <c r="M227" s="1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10"/>
      <c r="D228" s="10"/>
      <c r="E228" s="10"/>
      <c r="F228" s="10"/>
      <c r="G228" s="6"/>
      <c r="H228" s="6"/>
      <c r="I228" s="6"/>
      <c r="J228" s="6"/>
      <c r="K228" s="10"/>
      <c r="L228" s="10"/>
      <c r="M228" s="1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10"/>
      <c r="D229" s="10"/>
      <c r="E229" s="10"/>
      <c r="F229" s="10"/>
      <c r="G229" s="6"/>
      <c r="H229" s="6"/>
      <c r="I229" s="6"/>
      <c r="J229" s="6"/>
      <c r="K229" s="10"/>
      <c r="L229" s="10"/>
      <c r="M229" s="1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10"/>
      <c r="D230" s="10"/>
      <c r="E230" s="10"/>
      <c r="F230" s="10"/>
      <c r="G230" s="6"/>
      <c r="H230" s="6"/>
      <c r="I230" s="6"/>
      <c r="J230" s="6"/>
      <c r="K230" s="10"/>
      <c r="L230" s="10"/>
      <c r="M230" s="1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10"/>
      <c r="D231" s="10"/>
      <c r="E231" s="10"/>
      <c r="F231" s="10"/>
      <c r="G231" s="6"/>
      <c r="H231" s="6"/>
      <c r="I231" s="6"/>
      <c r="J231" s="6"/>
      <c r="K231" s="10"/>
      <c r="L231" s="10"/>
      <c r="M231" s="1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10"/>
      <c r="D232" s="10"/>
      <c r="E232" s="10"/>
      <c r="F232" s="10"/>
      <c r="G232" s="6"/>
      <c r="H232" s="6"/>
      <c r="I232" s="6"/>
      <c r="J232" s="6"/>
      <c r="K232" s="10"/>
      <c r="L232" s="10"/>
      <c r="M232" s="1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10"/>
      <c r="D233" s="10"/>
      <c r="E233" s="10"/>
      <c r="F233" s="10"/>
      <c r="G233" s="6"/>
      <c r="H233" s="6"/>
      <c r="I233" s="6"/>
      <c r="J233" s="6"/>
      <c r="K233" s="10"/>
      <c r="L233" s="10"/>
      <c r="M233" s="1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10"/>
      <c r="D234" s="10"/>
      <c r="E234" s="10"/>
      <c r="F234" s="10"/>
      <c r="G234" s="6"/>
      <c r="H234" s="6"/>
      <c r="I234" s="6"/>
      <c r="J234" s="6"/>
      <c r="K234" s="10"/>
      <c r="L234" s="10"/>
      <c r="M234" s="1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10"/>
      <c r="D235" s="10"/>
      <c r="E235" s="10"/>
      <c r="F235" s="10"/>
      <c r="G235" s="6"/>
      <c r="H235" s="6"/>
      <c r="I235" s="6"/>
      <c r="J235" s="6"/>
      <c r="K235" s="10"/>
      <c r="L235" s="10"/>
      <c r="M235" s="1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10"/>
      <c r="D236" s="10"/>
      <c r="E236" s="10"/>
      <c r="F236" s="10"/>
      <c r="G236" s="6"/>
      <c r="H236" s="6"/>
      <c r="I236" s="6"/>
      <c r="J236" s="6"/>
      <c r="K236" s="10"/>
      <c r="L236" s="10"/>
      <c r="M236" s="1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10"/>
      <c r="D237" s="10"/>
      <c r="E237" s="10"/>
      <c r="F237" s="10"/>
      <c r="G237" s="6"/>
      <c r="H237" s="6"/>
      <c r="I237" s="6"/>
      <c r="J237" s="6"/>
      <c r="K237" s="10"/>
      <c r="L237" s="10"/>
      <c r="M237" s="1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10"/>
      <c r="D238" s="10"/>
      <c r="E238" s="10"/>
      <c r="F238" s="10"/>
      <c r="G238" s="6"/>
      <c r="H238" s="6"/>
      <c r="I238" s="6"/>
      <c r="J238" s="6"/>
      <c r="K238" s="10"/>
      <c r="L238" s="10"/>
      <c r="M238" s="1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10"/>
      <c r="D239" s="10"/>
      <c r="E239" s="10"/>
      <c r="F239" s="10"/>
      <c r="G239" s="6"/>
      <c r="H239" s="6"/>
      <c r="I239" s="6"/>
      <c r="J239" s="6"/>
      <c r="K239" s="10"/>
      <c r="L239" s="10"/>
      <c r="M239" s="1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10"/>
      <c r="D240" s="10"/>
      <c r="E240" s="10"/>
      <c r="F240" s="10"/>
      <c r="G240" s="6"/>
      <c r="H240" s="6"/>
      <c r="I240" s="6"/>
      <c r="J240" s="6"/>
      <c r="K240" s="10"/>
      <c r="L240" s="10"/>
      <c r="M240" s="1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10"/>
      <c r="D241" s="10"/>
      <c r="E241" s="10"/>
      <c r="F241" s="10"/>
      <c r="G241" s="6"/>
      <c r="H241" s="6"/>
      <c r="I241" s="6"/>
      <c r="J241" s="6"/>
      <c r="K241" s="10"/>
      <c r="L241" s="10"/>
      <c r="M241" s="1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10"/>
      <c r="D242" s="10"/>
      <c r="E242" s="10"/>
      <c r="F242" s="10"/>
      <c r="G242" s="6"/>
      <c r="H242" s="6"/>
      <c r="I242" s="6"/>
      <c r="J242" s="6"/>
      <c r="K242" s="10"/>
      <c r="L242" s="10"/>
      <c r="M242" s="1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10"/>
      <c r="D243" s="10"/>
      <c r="E243" s="10"/>
      <c r="F243" s="10"/>
      <c r="G243" s="6"/>
      <c r="H243" s="6"/>
      <c r="I243" s="6"/>
      <c r="J243" s="6"/>
      <c r="K243" s="10"/>
      <c r="L243" s="10"/>
      <c r="M243" s="1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10"/>
      <c r="D244" s="10"/>
      <c r="E244" s="10"/>
      <c r="F244" s="10"/>
      <c r="G244" s="6"/>
      <c r="H244" s="6"/>
      <c r="I244" s="6"/>
      <c r="J244" s="6"/>
      <c r="K244" s="10"/>
      <c r="L244" s="10"/>
      <c r="M244" s="1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10"/>
      <c r="D245" s="10"/>
      <c r="E245" s="10"/>
      <c r="F245" s="10"/>
      <c r="G245" s="6"/>
      <c r="H245" s="6"/>
      <c r="I245" s="6"/>
      <c r="J245" s="6"/>
      <c r="K245" s="10"/>
      <c r="L245" s="10"/>
      <c r="M245" s="1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10"/>
      <c r="D246" s="10"/>
      <c r="E246" s="10"/>
      <c r="F246" s="10"/>
      <c r="G246" s="6"/>
      <c r="H246" s="6"/>
      <c r="I246" s="6"/>
      <c r="J246" s="6"/>
      <c r="K246" s="10"/>
      <c r="L246" s="10"/>
      <c r="M246" s="1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10"/>
      <c r="D247" s="10"/>
      <c r="E247" s="10"/>
      <c r="F247" s="10"/>
      <c r="G247" s="6"/>
      <c r="H247" s="6"/>
      <c r="I247" s="6"/>
      <c r="J247" s="6"/>
      <c r="K247" s="10"/>
      <c r="L247" s="10"/>
      <c r="M247" s="1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10"/>
      <c r="D248" s="10"/>
      <c r="E248" s="10"/>
      <c r="F248" s="10"/>
      <c r="G248" s="6"/>
      <c r="H248" s="6"/>
      <c r="I248" s="6"/>
      <c r="J248" s="6"/>
      <c r="K248" s="10"/>
      <c r="L248" s="10"/>
      <c r="M248" s="1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10"/>
      <c r="D249" s="10"/>
      <c r="E249" s="10"/>
      <c r="F249" s="10"/>
      <c r="G249" s="6"/>
      <c r="H249" s="6"/>
      <c r="I249" s="6"/>
      <c r="J249" s="6"/>
      <c r="K249" s="10"/>
      <c r="L249" s="10"/>
      <c r="M249" s="1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10"/>
      <c r="D250" s="10"/>
      <c r="E250" s="10"/>
      <c r="F250" s="10"/>
      <c r="G250" s="6"/>
      <c r="H250" s="6"/>
      <c r="I250" s="6"/>
      <c r="J250" s="6"/>
      <c r="K250" s="10"/>
      <c r="L250" s="10"/>
      <c r="M250" s="1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10"/>
      <c r="D251" s="10"/>
      <c r="E251" s="10"/>
      <c r="F251" s="10"/>
      <c r="G251" s="6"/>
      <c r="H251" s="6"/>
      <c r="I251" s="6"/>
      <c r="J251" s="6"/>
      <c r="K251" s="10"/>
      <c r="L251" s="10"/>
      <c r="M251" s="1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10"/>
      <c r="D252" s="10"/>
      <c r="E252" s="10"/>
      <c r="F252" s="10"/>
      <c r="G252" s="6"/>
      <c r="H252" s="6"/>
      <c r="I252" s="6"/>
      <c r="J252" s="6"/>
      <c r="K252" s="10"/>
      <c r="L252" s="10"/>
      <c r="M252" s="1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10"/>
      <c r="D253" s="10"/>
      <c r="E253" s="10"/>
      <c r="F253" s="10"/>
      <c r="G253" s="6"/>
      <c r="H253" s="6"/>
      <c r="I253" s="6"/>
      <c r="J253" s="6"/>
      <c r="K253" s="10"/>
      <c r="L253" s="10"/>
      <c r="M253" s="1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10"/>
      <c r="D254" s="10"/>
      <c r="E254" s="10"/>
      <c r="F254" s="10"/>
      <c r="G254" s="6"/>
      <c r="H254" s="6"/>
      <c r="I254" s="6"/>
      <c r="J254" s="6"/>
      <c r="K254" s="10"/>
      <c r="L254" s="10"/>
      <c r="M254" s="1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10"/>
      <c r="D255" s="10"/>
      <c r="E255" s="10"/>
      <c r="F255" s="10"/>
      <c r="G255" s="6"/>
      <c r="H255" s="6"/>
      <c r="I255" s="6"/>
      <c r="J255" s="6"/>
      <c r="K255" s="10"/>
      <c r="L255" s="10"/>
      <c r="M255" s="1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10"/>
      <c r="D256" s="10"/>
      <c r="E256" s="10"/>
      <c r="F256" s="10"/>
      <c r="G256" s="6"/>
      <c r="H256" s="6"/>
      <c r="I256" s="6"/>
      <c r="J256" s="6"/>
      <c r="K256" s="10"/>
      <c r="L256" s="10"/>
      <c r="M256" s="1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10"/>
      <c r="D257" s="10"/>
      <c r="E257" s="10"/>
      <c r="F257" s="10"/>
      <c r="G257" s="6"/>
      <c r="H257" s="6"/>
      <c r="I257" s="6"/>
      <c r="J257" s="6"/>
      <c r="K257" s="10"/>
      <c r="L257" s="10"/>
      <c r="M257" s="1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10"/>
      <c r="D258" s="10"/>
      <c r="E258" s="10"/>
      <c r="F258" s="10"/>
      <c r="G258" s="6"/>
      <c r="H258" s="6"/>
      <c r="I258" s="6"/>
      <c r="J258" s="6"/>
      <c r="K258" s="10"/>
      <c r="L258" s="10"/>
      <c r="M258" s="1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10"/>
      <c r="D259" s="10"/>
      <c r="E259" s="10"/>
      <c r="F259" s="10"/>
      <c r="G259" s="6"/>
      <c r="H259" s="6"/>
      <c r="I259" s="6"/>
      <c r="J259" s="6"/>
      <c r="K259" s="10"/>
      <c r="L259" s="10"/>
      <c r="M259" s="1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10"/>
      <c r="D260" s="10"/>
      <c r="E260" s="10"/>
      <c r="F260" s="10"/>
      <c r="G260" s="6"/>
      <c r="H260" s="6"/>
      <c r="I260" s="6"/>
      <c r="J260" s="6"/>
      <c r="K260" s="10"/>
      <c r="L260" s="10"/>
      <c r="M260" s="1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10"/>
      <c r="D261" s="10"/>
      <c r="E261" s="10"/>
      <c r="F261" s="10"/>
      <c r="G261" s="6"/>
      <c r="H261" s="6"/>
      <c r="I261" s="6"/>
      <c r="J261" s="6"/>
      <c r="K261" s="10"/>
      <c r="L261" s="10"/>
      <c r="M261" s="1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10"/>
      <c r="D262" s="10"/>
      <c r="E262" s="10"/>
      <c r="F262" s="10"/>
      <c r="G262" s="6"/>
      <c r="H262" s="6"/>
      <c r="I262" s="6"/>
      <c r="J262" s="6"/>
      <c r="K262" s="10"/>
      <c r="L262" s="10"/>
      <c r="M262" s="1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10"/>
      <c r="D263" s="10"/>
      <c r="E263" s="10"/>
      <c r="F263" s="10"/>
      <c r="G263" s="6"/>
      <c r="H263" s="6"/>
      <c r="I263" s="6"/>
      <c r="J263" s="6"/>
      <c r="K263" s="10"/>
      <c r="L263" s="10"/>
      <c r="M263" s="1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10"/>
      <c r="D264" s="10"/>
      <c r="E264" s="10"/>
      <c r="F264" s="10"/>
      <c r="G264" s="6"/>
      <c r="H264" s="6"/>
      <c r="I264" s="6"/>
      <c r="J264" s="6"/>
      <c r="K264" s="10"/>
      <c r="L264" s="10"/>
      <c r="M264" s="1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10"/>
      <c r="D265" s="10"/>
      <c r="E265" s="10"/>
      <c r="F265" s="10"/>
      <c r="G265" s="6"/>
      <c r="H265" s="6"/>
      <c r="I265" s="6"/>
      <c r="J265" s="6"/>
      <c r="K265" s="10"/>
      <c r="L265" s="10"/>
      <c r="M265" s="1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10"/>
      <c r="D266" s="10"/>
      <c r="E266" s="10"/>
      <c r="F266" s="10"/>
      <c r="G266" s="6"/>
      <c r="H266" s="6"/>
      <c r="I266" s="6"/>
      <c r="J266" s="6"/>
      <c r="K266" s="10"/>
      <c r="L266" s="10"/>
      <c r="M266" s="1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10"/>
      <c r="D267" s="10"/>
      <c r="E267" s="10"/>
      <c r="F267" s="10"/>
      <c r="G267" s="6"/>
      <c r="H267" s="6"/>
      <c r="I267" s="6"/>
      <c r="J267" s="6"/>
      <c r="K267" s="10"/>
      <c r="L267" s="10"/>
      <c r="M267" s="1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10"/>
      <c r="D268" s="10"/>
      <c r="E268" s="10"/>
      <c r="F268" s="10"/>
      <c r="G268" s="6"/>
      <c r="H268" s="6"/>
      <c r="I268" s="6"/>
      <c r="J268" s="6"/>
      <c r="K268" s="10"/>
      <c r="L268" s="10"/>
      <c r="M268" s="1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10"/>
      <c r="D269" s="10"/>
      <c r="E269" s="10"/>
      <c r="F269" s="10"/>
      <c r="G269" s="6"/>
      <c r="H269" s="6"/>
      <c r="I269" s="6"/>
      <c r="J269" s="6"/>
      <c r="K269" s="10"/>
      <c r="L269" s="10"/>
      <c r="M269" s="1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10"/>
      <c r="D270" s="10"/>
      <c r="E270" s="10"/>
      <c r="F270" s="10"/>
      <c r="G270" s="6"/>
      <c r="H270" s="6"/>
      <c r="I270" s="6"/>
      <c r="J270" s="6"/>
      <c r="K270" s="10"/>
      <c r="L270" s="10"/>
      <c r="M270" s="1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10"/>
      <c r="D271" s="10"/>
      <c r="E271" s="10"/>
      <c r="F271" s="10"/>
      <c r="G271" s="6"/>
      <c r="H271" s="6"/>
      <c r="I271" s="6"/>
      <c r="J271" s="6"/>
      <c r="K271" s="10"/>
      <c r="L271" s="10"/>
      <c r="M271" s="1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10"/>
      <c r="D272" s="10"/>
      <c r="E272" s="10"/>
      <c r="F272" s="10"/>
      <c r="G272" s="6"/>
      <c r="H272" s="6"/>
      <c r="I272" s="6"/>
      <c r="J272" s="6"/>
      <c r="K272" s="10"/>
      <c r="L272" s="10"/>
      <c r="M272" s="1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10"/>
      <c r="D273" s="10"/>
      <c r="E273" s="10"/>
      <c r="F273" s="10"/>
      <c r="G273" s="6"/>
      <c r="H273" s="6"/>
      <c r="I273" s="6"/>
      <c r="J273" s="6"/>
      <c r="K273" s="10"/>
      <c r="L273" s="10"/>
      <c r="M273" s="1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10"/>
      <c r="D274" s="10"/>
      <c r="E274" s="10"/>
      <c r="F274" s="10"/>
      <c r="G274" s="6"/>
      <c r="H274" s="6"/>
      <c r="I274" s="6"/>
      <c r="J274" s="6"/>
      <c r="K274" s="10"/>
      <c r="L274" s="10"/>
      <c r="M274" s="1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10"/>
      <c r="D275" s="10"/>
      <c r="E275" s="10"/>
      <c r="F275" s="10"/>
      <c r="G275" s="6"/>
      <c r="H275" s="6"/>
      <c r="I275" s="6"/>
      <c r="J275" s="6"/>
      <c r="K275" s="10"/>
      <c r="L275" s="10"/>
      <c r="M275" s="1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10"/>
      <c r="D276" s="10"/>
      <c r="E276" s="10"/>
      <c r="F276" s="10"/>
      <c r="G276" s="6"/>
      <c r="H276" s="6"/>
      <c r="I276" s="6"/>
      <c r="J276" s="6"/>
      <c r="K276" s="10"/>
      <c r="L276" s="10"/>
      <c r="M276" s="10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10"/>
      <c r="D277" s="10"/>
      <c r="E277" s="10"/>
      <c r="F277" s="10"/>
      <c r="G277" s="6"/>
      <c r="H277" s="6"/>
      <c r="I277" s="6"/>
      <c r="J277" s="6"/>
      <c r="K277" s="10"/>
      <c r="L277" s="10"/>
      <c r="M277" s="10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10"/>
      <c r="D278" s="10"/>
      <c r="E278" s="10"/>
      <c r="F278" s="10"/>
      <c r="G278" s="6"/>
      <c r="H278" s="6"/>
      <c r="I278" s="6"/>
      <c r="J278" s="6"/>
      <c r="K278" s="10"/>
      <c r="L278" s="10"/>
      <c r="M278" s="10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10"/>
      <c r="D279" s="10"/>
      <c r="E279" s="10"/>
      <c r="F279" s="10"/>
      <c r="G279" s="6"/>
      <c r="H279" s="6"/>
      <c r="I279" s="6"/>
      <c r="J279" s="6"/>
      <c r="K279" s="10"/>
      <c r="L279" s="10"/>
      <c r="M279" s="10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10"/>
      <c r="D280" s="10"/>
      <c r="E280" s="10"/>
      <c r="F280" s="10"/>
      <c r="G280" s="6"/>
      <c r="H280" s="6"/>
      <c r="I280" s="6"/>
      <c r="J280" s="6"/>
      <c r="K280" s="10"/>
      <c r="L280" s="10"/>
      <c r="M280" s="10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10"/>
      <c r="D281" s="10"/>
      <c r="E281" s="10"/>
      <c r="F281" s="10"/>
      <c r="G281" s="6"/>
      <c r="H281" s="6"/>
      <c r="I281" s="6"/>
      <c r="J281" s="6"/>
      <c r="K281" s="10"/>
      <c r="L281" s="10"/>
      <c r="M281" s="10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10"/>
      <c r="D282" s="10"/>
      <c r="E282" s="10"/>
      <c r="F282" s="10"/>
      <c r="G282" s="6"/>
      <c r="H282" s="6"/>
      <c r="I282" s="6"/>
      <c r="J282" s="6"/>
      <c r="K282" s="10"/>
      <c r="L282" s="10"/>
      <c r="M282" s="10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10"/>
      <c r="D283" s="10"/>
      <c r="E283" s="10"/>
      <c r="F283" s="10"/>
      <c r="G283" s="6"/>
      <c r="H283" s="6"/>
      <c r="I283" s="6"/>
      <c r="J283" s="6"/>
      <c r="K283" s="10"/>
      <c r="L283" s="10"/>
      <c r="M283" s="10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10"/>
      <c r="D284" s="10"/>
      <c r="E284" s="10"/>
      <c r="F284" s="10"/>
      <c r="G284" s="6"/>
      <c r="H284" s="6"/>
      <c r="I284" s="6"/>
      <c r="J284" s="6"/>
      <c r="K284" s="10"/>
      <c r="L284" s="10"/>
      <c r="M284" s="10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10"/>
      <c r="D285" s="10"/>
      <c r="E285" s="10"/>
      <c r="F285" s="10"/>
      <c r="G285" s="6"/>
      <c r="H285" s="6"/>
      <c r="I285" s="6"/>
      <c r="J285" s="6"/>
      <c r="K285" s="10"/>
      <c r="L285" s="10"/>
      <c r="M285" s="10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10"/>
      <c r="D286" s="10"/>
      <c r="E286" s="10"/>
      <c r="F286" s="10"/>
      <c r="G286" s="6"/>
      <c r="H286" s="6"/>
      <c r="I286" s="6"/>
      <c r="J286" s="6"/>
      <c r="K286" s="10"/>
      <c r="L286" s="10"/>
      <c r="M286" s="10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10"/>
      <c r="D287" s="10"/>
      <c r="E287" s="10"/>
      <c r="F287" s="10"/>
      <c r="G287" s="6"/>
      <c r="H287" s="6"/>
      <c r="I287" s="6"/>
      <c r="J287" s="6"/>
      <c r="K287" s="10"/>
      <c r="L287" s="10"/>
      <c r="M287" s="10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10"/>
      <c r="D288" s="10"/>
      <c r="E288" s="10"/>
      <c r="F288" s="10"/>
      <c r="G288" s="6"/>
      <c r="H288" s="6"/>
      <c r="I288" s="6"/>
      <c r="J288" s="6"/>
      <c r="K288" s="10"/>
      <c r="L288" s="10"/>
      <c r="M288" s="10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10"/>
      <c r="D289" s="10"/>
      <c r="E289" s="10"/>
      <c r="F289" s="10"/>
      <c r="G289" s="6"/>
      <c r="H289" s="6"/>
      <c r="I289" s="6"/>
      <c r="J289" s="6"/>
      <c r="K289" s="10"/>
      <c r="L289" s="10"/>
      <c r="M289" s="1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10"/>
      <c r="D290" s="10"/>
      <c r="E290" s="10"/>
      <c r="F290" s="10"/>
      <c r="G290" s="6"/>
      <c r="H290" s="6"/>
      <c r="I290" s="6"/>
      <c r="J290" s="6"/>
      <c r="K290" s="10"/>
      <c r="L290" s="10"/>
      <c r="M290" s="1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10"/>
      <c r="D291" s="10"/>
      <c r="E291" s="10"/>
      <c r="F291" s="10"/>
      <c r="G291" s="6"/>
      <c r="H291" s="6"/>
      <c r="I291" s="6"/>
      <c r="J291" s="6"/>
      <c r="K291" s="10"/>
      <c r="L291" s="10"/>
      <c r="M291" s="1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10"/>
      <c r="D292" s="10"/>
      <c r="E292" s="10"/>
      <c r="F292" s="10"/>
      <c r="G292" s="6"/>
      <c r="H292" s="6"/>
      <c r="I292" s="6"/>
      <c r="J292" s="6"/>
      <c r="K292" s="10"/>
      <c r="L292" s="10"/>
      <c r="M292" s="1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10"/>
      <c r="D293" s="10"/>
      <c r="E293" s="10"/>
      <c r="F293" s="10"/>
      <c r="G293" s="6"/>
      <c r="H293" s="6"/>
      <c r="I293" s="6"/>
      <c r="J293" s="6"/>
      <c r="K293" s="10"/>
      <c r="L293" s="10"/>
      <c r="M293" s="1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10"/>
      <c r="D294" s="10"/>
      <c r="E294" s="10"/>
      <c r="F294" s="10"/>
      <c r="G294" s="6"/>
      <c r="H294" s="6"/>
      <c r="I294" s="6"/>
      <c r="J294" s="6"/>
      <c r="K294" s="10"/>
      <c r="L294" s="10"/>
      <c r="M294" s="1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10"/>
      <c r="D295" s="10"/>
      <c r="E295" s="10"/>
      <c r="F295" s="10"/>
      <c r="G295" s="6"/>
      <c r="H295" s="6"/>
      <c r="I295" s="6"/>
      <c r="J295" s="6"/>
      <c r="K295" s="10"/>
      <c r="L295" s="10"/>
      <c r="M295" s="1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10"/>
      <c r="D296" s="10"/>
      <c r="E296" s="10"/>
      <c r="F296" s="10"/>
      <c r="G296" s="6"/>
      <c r="H296" s="6"/>
      <c r="I296" s="6"/>
      <c r="J296" s="6"/>
      <c r="K296" s="10"/>
      <c r="L296" s="10"/>
      <c r="M296" s="1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10"/>
      <c r="D297" s="10"/>
      <c r="E297" s="10"/>
      <c r="F297" s="10"/>
      <c r="G297" s="6"/>
      <c r="H297" s="6"/>
      <c r="I297" s="6"/>
      <c r="J297" s="6"/>
      <c r="K297" s="10"/>
      <c r="L297" s="10"/>
      <c r="M297" s="1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10"/>
      <c r="D298" s="10"/>
      <c r="E298" s="10"/>
      <c r="F298" s="10"/>
      <c r="G298" s="6"/>
      <c r="H298" s="6"/>
      <c r="I298" s="6"/>
      <c r="J298" s="6"/>
      <c r="K298" s="10"/>
      <c r="L298" s="10"/>
      <c r="M298" s="1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10"/>
      <c r="D299" s="10"/>
      <c r="E299" s="10"/>
      <c r="F299" s="10"/>
      <c r="G299" s="6"/>
      <c r="H299" s="6"/>
      <c r="I299" s="6"/>
      <c r="J299" s="6"/>
      <c r="K299" s="10"/>
      <c r="L299" s="10"/>
      <c r="M299" s="1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10"/>
      <c r="D300" s="10"/>
      <c r="E300" s="10"/>
      <c r="F300" s="10"/>
      <c r="G300" s="6"/>
      <c r="H300" s="6"/>
      <c r="I300" s="6"/>
      <c r="J300" s="6"/>
      <c r="K300" s="10"/>
      <c r="L300" s="10"/>
      <c r="M300" s="1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10"/>
      <c r="D301" s="10"/>
      <c r="E301" s="10"/>
      <c r="F301" s="10"/>
      <c r="G301" s="6"/>
      <c r="H301" s="6"/>
      <c r="I301" s="6"/>
      <c r="J301" s="6"/>
      <c r="K301" s="10"/>
      <c r="L301" s="10"/>
      <c r="M301" s="1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10"/>
      <c r="D302" s="10"/>
      <c r="E302" s="10"/>
      <c r="F302" s="10"/>
      <c r="G302" s="6"/>
      <c r="H302" s="6"/>
      <c r="I302" s="6"/>
      <c r="J302" s="6"/>
      <c r="K302" s="10"/>
      <c r="L302" s="10"/>
      <c r="M302" s="1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10"/>
      <c r="D303" s="10"/>
      <c r="E303" s="10"/>
      <c r="F303" s="10"/>
      <c r="G303" s="6"/>
      <c r="H303" s="6"/>
      <c r="I303" s="6"/>
      <c r="J303" s="6"/>
      <c r="K303" s="10"/>
      <c r="L303" s="10"/>
      <c r="M303" s="1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10"/>
      <c r="D304" s="10"/>
      <c r="E304" s="10"/>
      <c r="F304" s="10"/>
      <c r="G304" s="6"/>
      <c r="H304" s="6"/>
      <c r="I304" s="6"/>
      <c r="J304" s="6"/>
      <c r="K304" s="10"/>
      <c r="L304" s="10"/>
      <c r="M304" s="1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10"/>
      <c r="D305" s="10"/>
      <c r="E305" s="10"/>
      <c r="F305" s="10"/>
      <c r="G305" s="6"/>
      <c r="H305" s="6"/>
      <c r="I305" s="6"/>
      <c r="J305" s="6"/>
      <c r="K305" s="10"/>
      <c r="L305" s="10"/>
      <c r="M305" s="1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10"/>
      <c r="D306" s="10"/>
      <c r="E306" s="10"/>
      <c r="F306" s="10"/>
      <c r="G306" s="6"/>
      <c r="H306" s="6"/>
      <c r="I306" s="6"/>
      <c r="J306" s="6"/>
      <c r="K306" s="10"/>
      <c r="L306" s="10"/>
      <c r="M306" s="1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10"/>
      <c r="D307" s="10"/>
      <c r="E307" s="10"/>
      <c r="F307" s="10"/>
      <c r="G307" s="6"/>
      <c r="H307" s="6"/>
      <c r="I307" s="6"/>
      <c r="J307" s="6"/>
      <c r="K307" s="10"/>
      <c r="L307" s="10"/>
      <c r="M307" s="1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10"/>
      <c r="D308" s="10"/>
      <c r="E308" s="10"/>
      <c r="F308" s="10"/>
      <c r="G308" s="6"/>
      <c r="H308" s="6"/>
      <c r="I308" s="6"/>
      <c r="J308" s="6"/>
      <c r="K308" s="10"/>
      <c r="L308" s="10"/>
      <c r="M308" s="1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10"/>
      <c r="D309" s="10"/>
      <c r="E309" s="10"/>
      <c r="F309" s="10"/>
      <c r="G309" s="6"/>
      <c r="H309" s="6"/>
      <c r="I309" s="6"/>
      <c r="J309" s="6"/>
      <c r="K309" s="10"/>
      <c r="L309" s="10"/>
      <c r="M309" s="1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10"/>
      <c r="D310" s="10"/>
      <c r="E310" s="10"/>
      <c r="F310" s="10"/>
      <c r="G310" s="6"/>
      <c r="H310" s="6"/>
      <c r="I310" s="6"/>
      <c r="J310" s="6"/>
      <c r="K310" s="10"/>
      <c r="L310" s="10"/>
      <c r="M310" s="1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10"/>
      <c r="D311" s="10"/>
      <c r="E311" s="10"/>
      <c r="F311" s="10"/>
      <c r="G311" s="6"/>
      <c r="H311" s="6"/>
      <c r="I311" s="6"/>
      <c r="J311" s="6"/>
      <c r="K311" s="10"/>
      <c r="L311" s="10"/>
      <c r="M311" s="1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10"/>
      <c r="D312" s="10"/>
      <c r="E312" s="10"/>
      <c r="F312" s="10"/>
      <c r="G312" s="6"/>
      <c r="H312" s="6"/>
      <c r="I312" s="6"/>
      <c r="J312" s="6"/>
      <c r="K312" s="10"/>
      <c r="L312" s="10"/>
      <c r="M312" s="1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10"/>
      <c r="D313" s="10"/>
      <c r="E313" s="10"/>
      <c r="F313" s="10"/>
      <c r="G313" s="6"/>
      <c r="H313" s="6"/>
      <c r="I313" s="6"/>
      <c r="J313" s="6"/>
      <c r="K313" s="10"/>
      <c r="L313" s="10"/>
      <c r="M313" s="1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10"/>
      <c r="D314" s="10"/>
      <c r="E314" s="10"/>
      <c r="F314" s="10"/>
      <c r="G314" s="6"/>
      <c r="H314" s="6"/>
      <c r="I314" s="6"/>
      <c r="J314" s="6"/>
      <c r="K314" s="10"/>
      <c r="L314" s="10"/>
      <c r="M314" s="1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10"/>
      <c r="D315" s="10"/>
      <c r="E315" s="10"/>
      <c r="F315" s="10"/>
      <c r="G315" s="6"/>
      <c r="H315" s="6"/>
      <c r="I315" s="6"/>
      <c r="J315" s="6"/>
      <c r="K315" s="10"/>
      <c r="L315" s="10"/>
      <c r="M315" s="1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10"/>
      <c r="D316" s="10"/>
      <c r="E316" s="10"/>
      <c r="F316" s="10"/>
      <c r="G316" s="6"/>
      <c r="H316" s="6"/>
      <c r="I316" s="6"/>
      <c r="J316" s="6"/>
      <c r="K316" s="10"/>
      <c r="L316" s="10"/>
      <c r="M316" s="1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10"/>
      <c r="D317" s="10"/>
      <c r="E317" s="10"/>
      <c r="F317" s="10"/>
      <c r="G317" s="6"/>
      <c r="H317" s="6"/>
      <c r="I317" s="6"/>
      <c r="J317" s="6"/>
      <c r="K317" s="10"/>
      <c r="L317" s="10"/>
      <c r="M317" s="1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10"/>
      <c r="D318" s="10"/>
      <c r="E318" s="10"/>
      <c r="F318" s="10"/>
      <c r="G318" s="6"/>
      <c r="H318" s="6"/>
      <c r="I318" s="6"/>
      <c r="J318" s="6"/>
      <c r="K318" s="10"/>
      <c r="L318" s="10"/>
      <c r="M318" s="1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10"/>
      <c r="D319" s="10"/>
      <c r="E319" s="10"/>
      <c r="F319" s="10"/>
      <c r="G319" s="6"/>
      <c r="H319" s="6"/>
      <c r="I319" s="6"/>
      <c r="J319" s="6"/>
      <c r="K319" s="10"/>
      <c r="L319" s="10"/>
      <c r="M319" s="1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10"/>
      <c r="D320" s="10"/>
      <c r="E320" s="10"/>
      <c r="F320" s="10"/>
      <c r="G320" s="6"/>
      <c r="H320" s="6"/>
      <c r="I320" s="6"/>
      <c r="J320" s="6"/>
      <c r="K320" s="10"/>
      <c r="L320" s="10"/>
      <c r="M320" s="1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10"/>
      <c r="D321" s="10"/>
      <c r="E321" s="10"/>
      <c r="F321" s="10"/>
      <c r="G321" s="6"/>
      <c r="H321" s="6"/>
      <c r="I321" s="6"/>
      <c r="J321" s="6"/>
      <c r="K321" s="10"/>
      <c r="L321" s="10"/>
      <c r="M321" s="1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10"/>
      <c r="D322" s="10"/>
      <c r="E322" s="10"/>
      <c r="F322" s="10"/>
      <c r="G322" s="6"/>
      <c r="H322" s="6"/>
      <c r="I322" s="6"/>
      <c r="J322" s="6"/>
      <c r="K322" s="10"/>
      <c r="L322" s="10"/>
      <c r="M322" s="1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10"/>
      <c r="D323" s="10"/>
      <c r="E323" s="10"/>
      <c r="F323" s="10"/>
      <c r="G323" s="6"/>
      <c r="H323" s="6"/>
      <c r="I323" s="6"/>
      <c r="J323" s="6"/>
      <c r="K323" s="10"/>
      <c r="L323" s="10"/>
      <c r="M323" s="1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10"/>
      <c r="D324" s="10"/>
      <c r="E324" s="10"/>
      <c r="F324" s="10"/>
      <c r="G324" s="6"/>
      <c r="H324" s="6"/>
      <c r="I324" s="6"/>
      <c r="J324" s="6"/>
      <c r="K324" s="10"/>
      <c r="L324" s="10"/>
      <c r="M324" s="1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10"/>
      <c r="D325" s="10"/>
      <c r="E325" s="10"/>
      <c r="F325" s="10"/>
      <c r="G325" s="6"/>
      <c r="H325" s="6"/>
      <c r="I325" s="6"/>
      <c r="J325" s="6"/>
      <c r="K325" s="10"/>
      <c r="L325" s="10"/>
      <c r="M325" s="1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10"/>
      <c r="D326" s="10"/>
      <c r="E326" s="10"/>
      <c r="F326" s="10"/>
      <c r="G326" s="6"/>
      <c r="H326" s="6"/>
      <c r="I326" s="6"/>
      <c r="J326" s="6"/>
      <c r="K326" s="10"/>
      <c r="L326" s="10"/>
      <c r="M326" s="1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10"/>
      <c r="D327" s="10"/>
      <c r="E327" s="10"/>
      <c r="F327" s="10"/>
      <c r="G327" s="6"/>
      <c r="H327" s="6"/>
      <c r="I327" s="6"/>
      <c r="J327" s="6"/>
      <c r="K327" s="10"/>
      <c r="L327" s="10"/>
      <c r="M327" s="1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10"/>
      <c r="D328" s="10"/>
      <c r="E328" s="10"/>
      <c r="F328" s="10"/>
      <c r="G328" s="6"/>
      <c r="H328" s="6"/>
      <c r="I328" s="6"/>
      <c r="J328" s="6"/>
      <c r="K328" s="10"/>
      <c r="L328" s="10"/>
      <c r="M328" s="1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10"/>
      <c r="D329" s="10"/>
      <c r="E329" s="10"/>
      <c r="F329" s="10"/>
      <c r="G329" s="6"/>
      <c r="H329" s="6"/>
      <c r="I329" s="6"/>
      <c r="J329" s="6"/>
      <c r="K329" s="10"/>
      <c r="L329" s="10"/>
      <c r="M329" s="1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10"/>
      <c r="D330" s="10"/>
      <c r="E330" s="10"/>
      <c r="F330" s="10"/>
      <c r="G330" s="6"/>
      <c r="H330" s="6"/>
      <c r="I330" s="6"/>
      <c r="J330" s="6"/>
      <c r="K330" s="10"/>
      <c r="L330" s="10"/>
      <c r="M330" s="1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10"/>
      <c r="D331" s="10"/>
      <c r="E331" s="10"/>
      <c r="F331" s="10"/>
      <c r="G331" s="6"/>
      <c r="H331" s="6"/>
      <c r="I331" s="6"/>
      <c r="J331" s="6"/>
      <c r="K331" s="10"/>
      <c r="L331" s="10"/>
      <c r="M331" s="1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10"/>
      <c r="D332" s="10"/>
      <c r="E332" s="10"/>
      <c r="F332" s="10"/>
      <c r="G332" s="6"/>
      <c r="H332" s="6"/>
      <c r="I332" s="6"/>
      <c r="J332" s="6"/>
      <c r="K332" s="10"/>
      <c r="L332" s="10"/>
      <c r="M332" s="1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10"/>
      <c r="D333" s="10"/>
      <c r="E333" s="10"/>
      <c r="F333" s="10"/>
      <c r="G333" s="6"/>
      <c r="H333" s="6"/>
      <c r="I333" s="6"/>
      <c r="J333" s="6"/>
      <c r="K333" s="10"/>
      <c r="L333" s="10"/>
      <c r="M333" s="1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10"/>
      <c r="D334" s="10"/>
      <c r="E334" s="10"/>
      <c r="F334" s="10"/>
      <c r="G334" s="6"/>
      <c r="H334" s="6"/>
      <c r="I334" s="6"/>
      <c r="J334" s="6"/>
      <c r="K334" s="10"/>
      <c r="L334" s="10"/>
      <c r="M334" s="1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10"/>
      <c r="D335" s="10"/>
      <c r="E335" s="10"/>
      <c r="F335" s="10"/>
      <c r="G335" s="6"/>
      <c r="H335" s="6"/>
      <c r="I335" s="6"/>
      <c r="J335" s="6"/>
      <c r="K335" s="10"/>
      <c r="L335" s="10"/>
      <c r="M335" s="1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10"/>
      <c r="D336" s="10"/>
      <c r="E336" s="10"/>
      <c r="F336" s="10"/>
      <c r="G336" s="6"/>
      <c r="H336" s="6"/>
      <c r="I336" s="6"/>
      <c r="J336" s="6"/>
      <c r="K336" s="10"/>
      <c r="L336" s="10"/>
      <c r="M336" s="1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10"/>
      <c r="D337" s="10"/>
      <c r="E337" s="10"/>
      <c r="F337" s="10"/>
      <c r="G337" s="6"/>
      <c r="H337" s="6"/>
      <c r="I337" s="6"/>
      <c r="J337" s="6"/>
      <c r="K337" s="10"/>
      <c r="L337" s="10"/>
      <c r="M337" s="1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10"/>
      <c r="D338" s="10"/>
      <c r="E338" s="10"/>
      <c r="F338" s="10"/>
      <c r="G338" s="6"/>
      <c r="H338" s="6"/>
      <c r="I338" s="6"/>
      <c r="J338" s="6"/>
      <c r="K338" s="10"/>
      <c r="L338" s="10"/>
      <c r="M338" s="1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10"/>
      <c r="D339" s="10"/>
      <c r="E339" s="10"/>
      <c r="F339" s="10"/>
      <c r="G339" s="6"/>
      <c r="H339" s="6"/>
      <c r="I339" s="6"/>
      <c r="J339" s="6"/>
      <c r="K339" s="10"/>
      <c r="L339" s="10"/>
      <c r="M339" s="1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10"/>
      <c r="D340" s="10"/>
      <c r="E340" s="10"/>
      <c r="F340" s="10"/>
      <c r="G340" s="6"/>
      <c r="H340" s="6"/>
      <c r="I340" s="6"/>
      <c r="J340" s="6"/>
      <c r="K340" s="10"/>
      <c r="L340" s="10"/>
      <c r="M340" s="1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10"/>
      <c r="D341" s="10"/>
      <c r="E341" s="10"/>
      <c r="F341" s="10"/>
      <c r="G341" s="6"/>
      <c r="H341" s="6"/>
      <c r="I341" s="6"/>
      <c r="J341" s="6"/>
      <c r="K341" s="10"/>
      <c r="L341" s="10"/>
      <c r="M341" s="1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10"/>
      <c r="D342" s="10"/>
      <c r="E342" s="10"/>
      <c r="F342" s="10"/>
      <c r="G342" s="6"/>
      <c r="H342" s="6"/>
      <c r="I342" s="6"/>
      <c r="J342" s="6"/>
      <c r="K342" s="10"/>
      <c r="L342" s="10"/>
      <c r="M342" s="1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10"/>
      <c r="D343" s="10"/>
      <c r="E343" s="10"/>
      <c r="F343" s="10"/>
      <c r="G343" s="6"/>
      <c r="H343" s="6"/>
      <c r="I343" s="6"/>
      <c r="J343" s="6"/>
      <c r="K343" s="10"/>
      <c r="L343" s="10"/>
      <c r="M343" s="1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10"/>
      <c r="D344" s="10"/>
      <c r="E344" s="10"/>
      <c r="F344" s="10"/>
      <c r="G344" s="6"/>
      <c r="H344" s="6"/>
      <c r="I344" s="6"/>
      <c r="J344" s="6"/>
      <c r="K344" s="10"/>
      <c r="L344" s="10"/>
      <c r="M344" s="1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10"/>
      <c r="D345" s="10"/>
      <c r="E345" s="10"/>
      <c r="F345" s="10"/>
      <c r="G345" s="6"/>
      <c r="H345" s="6"/>
      <c r="I345" s="6"/>
      <c r="J345" s="6"/>
      <c r="K345" s="10"/>
      <c r="L345" s="10"/>
      <c r="M345" s="1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10"/>
      <c r="D346" s="10"/>
      <c r="E346" s="10"/>
      <c r="F346" s="10"/>
      <c r="G346" s="6"/>
      <c r="H346" s="6"/>
      <c r="I346" s="6"/>
      <c r="J346" s="6"/>
      <c r="K346" s="10"/>
      <c r="L346" s="10"/>
      <c r="M346" s="1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10"/>
      <c r="D347" s="10"/>
      <c r="E347" s="10"/>
      <c r="F347" s="10"/>
      <c r="G347" s="6"/>
      <c r="H347" s="6"/>
      <c r="I347" s="6"/>
      <c r="J347" s="6"/>
      <c r="K347" s="10"/>
      <c r="L347" s="10"/>
      <c r="M347" s="1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10"/>
      <c r="D348" s="10"/>
      <c r="E348" s="10"/>
      <c r="F348" s="10"/>
      <c r="G348" s="6"/>
      <c r="H348" s="6"/>
      <c r="I348" s="6"/>
      <c r="J348" s="6"/>
      <c r="K348" s="10"/>
      <c r="L348" s="10"/>
      <c r="M348" s="1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10"/>
      <c r="D349" s="10"/>
      <c r="E349" s="10"/>
      <c r="F349" s="10"/>
      <c r="G349" s="6"/>
      <c r="H349" s="6"/>
      <c r="I349" s="6"/>
      <c r="J349" s="6"/>
      <c r="K349" s="10"/>
      <c r="L349" s="10"/>
      <c r="M349" s="1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10"/>
      <c r="D350" s="10"/>
      <c r="E350" s="10"/>
      <c r="F350" s="10"/>
      <c r="G350" s="6"/>
      <c r="H350" s="6"/>
      <c r="I350" s="6"/>
      <c r="J350" s="6"/>
      <c r="K350" s="10"/>
      <c r="L350" s="10"/>
      <c r="M350" s="1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10"/>
      <c r="D351" s="10"/>
      <c r="E351" s="10"/>
      <c r="F351" s="10"/>
      <c r="G351" s="6"/>
      <c r="H351" s="6"/>
      <c r="I351" s="6"/>
      <c r="J351" s="6"/>
      <c r="K351" s="10"/>
      <c r="L351" s="10"/>
      <c r="M351" s="1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10"/>
      <c r="D352" s="10"/>
      <c r="E352" s="10"/>
      <c r="F352" s="10"/>
      <c r="G352" s="6"/>
      <c r="H352" s="6"/>
      <c r="I352" s="6"/>
      <c r="J352" s="6"/>
      <c r="K352" s="10"/>
      <c r="L352" s="10"/>
      <c r="M352" s="1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10"/>
      <c r="D353" s="10"/>
      <c r="E353" s="10"/>
      <c r="F353" s="10"/>
      <c r="G353" s="6"/>
      <c r="H353" s="6"/>
      <c r="I353" s="6"/>
      <c r="J353" s="6"/>
      <c r="K353" s="10"/>
      <c r="L353" s="10"/>
      <c r="M353" s="1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10"/>
      <c r="D354" s="10"/>
      <c r="E354" s="10"/>
      <c r="F354" s="10"/>
      <c r="G354" s="6"/>
      <c r="H354" s="6"/>
      <c r="I354" s="6"/>
      <c r="J354" s="6"/>
      <c r="K354" s="10"/>
      <c r="L354" s="10"/>
      <c r="M354" s="1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10"/>
      <c r="D355" s="10"/>
      <c r="E355" s="10"/>
      <c r="F355" s="10"/>
      <c r="G355" s="6"/>
      <c r="H355" s="6"/>
      <c r="I355" s="6"/>
      <c r="J355" s="6"/>
      <c r="K355" s="10"/>
      <c r="L355" s="10"/>
      <c r="M355" s="1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10"/>
      <c r="D356" s="10"/>
      <c r="E356" s="10"/>
      <c r="F356" s="10"/>
      <c r="G356" s="6"/>
      <c r="H356" s="6"/>
      <c r="I356" s="6"/>
      <c r="J356" s="6"/>
      <c r="K356" s="10"/>
      <c r="L356" s="10"/>
      <c r="M356" s="1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10"/>
      <c r="D357" s="10"/>
      <c r="E357" s="10"/>
      <c r="F357" s="10"/>
      <c r="G357" s="6"/>
      <c r="H357" s="6"/>
      <c r="I357" s="6"/>
      <c r="J357" s="6"/>
      <c r="K357" s="10"/>
      <c r="L357" s="10"/>
      <c r="M357" s="1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10"/>
      <c r="D358" s="10"/>
      <c r="E358" s="10"/>
      <c r="F358" s="10"/>
      <c r="G358" s="6"/>
      <c r="H358" s="6"/>
      <c r="I358" s="6"/>
      <c r="J358" s="6"/>
      <c r="K358" s="10"/>
      <c r="L358" s="10"/>
      <c r="M358" s="1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10"/>
      <c r="D359" s="10"/>
      <c r="E359" s="10"/>
      <c r="F359" s="10"/>
      <c r="G359" s="6"/>
      <c r="H359" s="6"/>
      <c r="I359" s="6"/>
      <c r="J359" s="6"/>
      <c r="K359" s="10"/>
      <c r="L359" s="10"/>
      <c r="M359" s="1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10"/>
      <c r="D360" s="10"/>
      <c r="E360" s="10"/>
      <c r="F360" s="10"/>
      <c r="G360" s="6"/>
      <c r="H360" s="6"/>
      <c r="I360" s="6"/>
      <c r="J360" s="6"/>
      <c r="K360" s="10"/>
      <c r="L360" s="10"/>
      <c r="M360" s="1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10"/>
      <c r="D361" s="10"/>
      <c r="E361" s="10"/>
      <c r="F361" s="10"/>
      <c r="G361" s="6"/>
      <c r="H361" s="6"/>
      <c r="I361" s="6"/>
      <c r="J361" s="6"/>
      <c r="K361" s="10"/>
      <c r="L361" s="10"/>
      <c r="M361" s="1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10"/>
      <c r="D362" s="10"/>
      <c r="E362" s="10"/>
      <c r="F362" s="10"/>
      <c r="G362" s="6"/>
      <c r="H362" s="6"/>
      <c r="I362" s="6"/>
      <c r="J362" s="6"/>
      <c r="K362" s="10"/>
      <c r="L362" s="10"/>
      <c r="M362" s="1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10"/>
      <c r="D363" s="10"/>
      <c r="E363" s="10"/>
      <c r="F363" s="10"/>
      <c r="G363" s="6"/>
      <c r="H363" s="6"/>
      <c r="I363" s="6"/>
      <c r="J363" s="6"/>
      <c r="K363" s="10"/>
      <c r="L363" s="10"/>
      <c r="M363" s="1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10"/>
      <c r="D364" s="10"/>
      <c r="E364" s="10"/>
      <c r="F364" s="10"/>
      <c r="G364" s="6"/>
      <c r="H364" s="6"/>
      <c r="I364" s="6"/>
      <c r="J364" s="6"/>
      <c r="K364" s="10"/>
      <c r="L364" s="10"/>
      <c r="M364" s="1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10"/>
      <c r="D365" s="10"/>
      <c r="E365" s="10"/>
      <c r="F365" s="10"/>
      <c r="G365" s="6"/>
      <c r="H365" s="6"/>
      <c r="I365" s="6"/>
      <c r="J365" s="6"/>
      <c r="K365" s="10"/>
      <c r="L365" s="10"/>
      <c r="M365" s="1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10"/>
      <c r="D366" s="10"/>
      <c r="E366" s="10"/>
      <c r="F366" s="10"/>
      <c r="G366" s="6"/>
      <c r="H366" s="6"/>
      <c r="I366" s="6"/>
      <c r="J366" s="6"/>
      <c r="K366" s="10"/>
      <c r="L366" s="10"/>
      <c r="M366" s="1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10"/>
      <c r="D367" s="10"/>
      <c r="E367" s="10"/>
      <c r="F367" s="10"/>
      <c r="G367" s="6"/>
      <c r="H367" s="6"/>
      <c r="I367" s="6"/>
      <c r="J367" s="6"/>
      <c r="K367" s="10"/>
      <c r="L367" s="10"/>
      <c r="M367" s="1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10"/>
      <c r="D368" s="10"/>
      <c r="E368" s="10"/>
      <c r="F368" s="10"/>
      <c r="G368" s="6"/>
      <c r="H368" s="6"/>
      <c r="I368" s="6"/>
      <c r="J368" s="6"/>
      <c r="K368" s="10"/>
      <c r="L368" s="10"/>
      <c r="M368" s="1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10"/>
      <c r="D369" s="10"/>
      <c r="E369" s="10"/>
      <c r="F369" s="10"/>
      <c r="G369" s="6"/>
      <c r="H369" s="6"/>
      <c r="I369" s="6"/>
      <c r="J369" s="6"/>
      <c r="K369" s="10"/>
      <c r="L369" s="10"/>
      <c r="M369" s="1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10"/>
      <c r="D370" s="10"/>
      <c r="E370" s="10"/>
      <c r="F370" s="10"/>
      <c r="G370" s="6"/>
      <c r="H370" s="6"/>
      <c r="I370" s="6"/>
      <c r="J370" s="6"/>
      <c r="K370" s="10"/>
      <c r="L370" s="10"/>
      <c r="M370" s="1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10"/>
      <c r="D371" s="10"/>
      <c r="E371" s="10"/>
      <c r="F371" s="10"/>
      <c r="G371" s="6"/>
      <c r="H371" s="6"/>
      <c r="I371" s="6"/>
      <c r="J371" s="6"/>
      <c r="K371" s="10"/>
      <c r="L371" s="10"/>
      <c r="M371" s="1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10"/>
      <c r="D372" s="10"/>
      <c r="E372" s="10"/>
      <c r="F372" s="10"/>
      <c r="G372" s="6"/>
      <c r="H372" s="6"/>
      <c r="I372" s="6"/>
      <c r="J372" s="6"/>
      <c r="K372" s="10"/>
      <c r="L372" s="10"/>
      <c r="M372" s="1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10"/>
      <c r="D373" s="10"/>
      <c r="E373" s="10"/>
      <c r="F373" s="10"/>
      <c r="G373" s="6"/>
      <c r="H373" s="6"/>
      <c r="I373" s="6"/>
      <c r="J373" s="6"/>
      <c r="K373" s="10"/>
      <c r="L373" s="10"/>
      <c r="M373" s="1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10"/>
      <c r="D374" s="10"/>
      <c r="E374" s="10"/>
      <c r="F374" s="10"/>
      <c r="G374" s="6"/>
      <c r="H374" s="6"/>
      <c r="I374" s="6"/>
      <c r="J374" s="6"/>
      <c r="K374" s="10"/>
      <c r="L374" s="10"/>
      <c r="M374" s="1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10"/>
      <c r="D375" s="10"/>
      <c r="E375" s="10"/>
      <c r="F375" s="10"/>
      <c r="G375" s="6"/>
      <c r="H375" s="6"/>
      <c r="I375" s="6"/>
      <c r="J375" s="6"/>
      <c r="K375" s="10"/>
      <c r="L375" s="10"/>
      <c r="M375" s="1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10"/>
      <c r="D376" s="10"/>
      <c r="E376" s="10"/>
      <c r="F376" s="10"/>
      <c r="G376" s="6"/>
      <c r="H376" s="6"/>
      <c r="I376" s="6"/>
      <c r="J376" s="6"/>
      <c r="K376" s="10"/>
      <c r="L376" s="10"/>
      <c r="M376" s="1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10"/>
      <c r="D377" s="10"/>
      <c r="E377" s="10"/>
      <c r="F377" s="10"/>
      <c r="G377" s="6"/>
      <c r="H377" s="6"/>
      <c r="I377" s="6"/>
      <c r="J377" s="6"/>
      <c r="K377" s="10"/>
      <c r="L377" s="10"/>
      <c r="M377" s="1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10"/>
      <c r="D378" s="10"/>
      <c r="E378" s="10"/>
      <c r="F378" s="10"/>
      <c r="G378" s="6"/>
      <c r="H378" s="6"/>
      <c r="I378" s="6"/>
      <c r="J378" s="6"/>
      <c r="K378" s="10"/>
      <c r="L378" s="10"/>
      <c r="M378" s="1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10"/>
      <c r="D379" s="10"/>
      <c r="E379" s="10"/>
      <c r="F379" s="10"/>
      <c r="G379" s="6"/>
      <c r="H379" s="6"/>
      <c r="I379" s="6"/>
      <c r="J379" s="6"/>
      <c r="K379" s="10"/>
      <c r="L379" s="10"/>
      <c r="M379" s="1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10"/>
      <c r="D380" s="10"/>
      <c r="E380" s="10"/>
      <c r="F380" s="10"/>
      <c r="G380" s="6"/>
      <c r="H380" s="6"/>
      <c r="I380" s="6"/>
      <c r="J380" s="6"/>
      <c r="K380" s="10"/>
      <c r="L380" s="10"/>
      <c r="M380" s="1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10"/>
      <c r="D381" s="10"/>
      <c r="E381" s="10"/>
      <c r="F381" s="10"/>
      <c r="G381" s="6"/>
      <c r="H381" s="6"/>
      <c r="I381" s="6"/>
      <c r="J381" s="6"/>
      <c r="K381" s="10"/>
      <c r="L381" s="10"/>
      <c r="M381" s="1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10"/>
      <c r="D382" s="10"/>
      <c r="E382" s="10"/>
      <c r="F382" s="10"/>
      <c r="G382" s="6"/>
      <c r="H382" s="6"/>
      <c r="I382" s="6"/>
      <c r="J382" s="6"/>
      <c r="K382" s="10"/>
      <c r="L382" s="10"/>
      <c r="M382" s="1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10"/>
      <c r="D383" s="10"/>
      <c r="E383" s="10"/>
      <c r="F383" s="10"/>
      <c r="G383" s="6"/>
      <c r="H383" s="6"/>
      <c r="I383" s="6"/>
      <c r="J383" s="6"/>
      <c r="K383" s="10"/>
      <c r="L383" s="10"/>
      <c r="M383" s="1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10"/>
      <c r="D384" s="10"/>
      <c r="E384" s="10"/>
      <c r="F384" s="10"/>
      <c r="G384" s="6"/>
      <c r="H384" s="6"/>
      <c r="I384" s="6"/>
      <c r="J384" s="6"/>
      <c r="K384" s="10"/>
      <c r="L384" s="10"/>
      <c r="M384" s="1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10"/>
      <c r="D385" s="10"/>
      <c r="E385" s="10"/>
      <c r="F385" s="10"/>
      <c r="G385" s="6"/>
      <c r="H385" s="6"/>
      <c r="I385" s="6"/>
      <c r="J385" s="6"/>
      <c r="K385" s="10"/>
      <c r="L385" s="10"/>
      <c r="M385" s="1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10"/>
      <c r="D386" s="10"/>
      <c r="E386" s="10"/>
      <c r="F386" s="10"/>
      <c r="G386" s="6"/>
      <c r="H386" s="6"/>
      <c r="I386" s="6"/>
      <c r="J386" s="6"/>
      <c r="K386" s="10"/>
      <c r="L386" s="10"/>
      <c r="M386" s="1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10"/>
      <c r="D387" s="10"/>
      <c r="E387" s="10"/>
      <c r="F387" s="10"/>
      <c r="G387" s="6"/>
      <c r="H387" s="6"/>
      <c r="I387" s="6"/>
      <c r="J387" s="6"/>
      <c r="K387" s="10"/>
      <c r="L387" s="10"/>
      <c r="M387" s="1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10"/>
      <c r="D388" s="10"/>
      <c r="E388" s="10"/>
      <c r="F388" s="10"/>
      <c r="G388" s="6"/>
      <c r="H388" s="6"/>
      <c r="I388" s="6"/>
      <c r="J388" s="6"/>
      <c r="K388" s="10"/>
      <c r="L388" s="10"/>
      <c r="M388" s="1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10"/>
      <c r="D389" s="10"/>
      <c r="E389" s="10"/>
      <c r="F389" s="10"/>
      <c r="G389" s="6"/>
      <c r="H389" s="6"/>
      <c r="I389" s="6"/>
      <c r="J389" s="6"/>
      <c r="K389" s="10"/>
      <c r="L389" s="10"/>
      <c r="M389" s="1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10"/>
      <c r="D390" s="10"/>
      <c r="E390" s="10"/>
      <c r="F390" s="10"/>
      <c r="G390" s="6"/>
      <c r="H390" s="6"/>
      <c r="I390" s="6"/>
      <c r="J390" s="6"/>
      <c r="K390" s="10"/>
      <c r="L390" s="10"/>
      <c r="M390" s="1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10"/>
      <c r="D391" s="10"/>
      <c r="E391" s="10"/>
      <c r="F391" s="10"/>
      <c r="G391" s="6"/>
      <c r="H391" s="6"/>
      <c r="I391" s="6"/>
      <c r="J391" s="6"/>
      <c r="K391" s="10"/>
      <c r="L391" s="10"/>
      <c r="M391" s="1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10"/>
      <c r="D392" s="10"/>
      <c r="E392" s="10"/>
      <c r="F392" s="10"/>
      <c r="G392" s="6"/>
      <c r="H392" s="6"/>
      <c r="I392" s="6"/>
      <c r="J392" s="6"/>
      <c r="K392" s="10"/>
      <c r="L392" s="10"/>
      <c r="M392" s="1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10"/>
      <c r="D393" s="10"/>
      <c r="E393" s="10"/>
      <c r="F393" s="10"/>
      <c r="G393" s="6"/>
      <c r="H393" s="6"/>
      <c r="I393" s="6"/>
      <c r="J393" s="6"/>
      <c r="K393" s="10"/>
      <c r="L393" s="10"/>
      <c r="M393" s="1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10"/>
      <c r="D394" s="10"/>
      <c r="E394" s="10"/>
      <c r="F394" s="10"/>
      <c r="G394" s="6"/>
      <c r="H394" s="6"/>
      <c r="I394" s="6"/>
      <c r="J394" s="6"/>
      <c r="K394" s="10"/>
      <c r="L394" s="10"/>
      <c r="M394" s="1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10"/>
      <c r="D395" s="10"/>
      <c r="E395" s="10"/>
      <c r="F395" s="10"/>
      <c r="G395" s="6"/>
      <c r="H395" s="6"/>
      <c r="I395" s="6"/>
      <c r="J395" s="6"/>
      <c r="K395" s="10"/>
      <c r="L395" s="10"/>
      <c r="M395" s="1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10"/>
      <c r="D396" s="10"/>
      <c r="E396" s="10"/>
      <c r="F396" s="10"/>
      <c r="G396" s="6"/>
      <c r="H396" s="6"/>
      <c r="I396" s="6"/>
      <c r="J396" s="6"/>
      <c r="K396" s="10"/>
      <c r="L396" s="10"/>
      <c r="M396" s="1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10"/>
      <c r="D397" s="10"/>
      <c r="E397" s="10"/>
      <c r="F397" s="10"/>
      <c r="G397" s="6"/>
      <c r="H397" s="6"/>
      <c r="I397" s="6"/>
      <c r="J397" s="6"/>
      <c r="K397" s="10"/>
      <c r="L397" s="10"/>
      <c r="M397" s="1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10"/>
      <c r="D398" s="10"/>
      <c r="E398" s="10"/>
      <c r="F398" s="10"/>
      <c r="G398" s="6"/>
      <c r="H398" s="6"/>
      <c r="I398" s="6"/>
      <c r="J398" s="6"/>
      <c r="K398" s="10"/>
      <c r="L398" s="10"/>
      <c r="M398" s="1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10"/>
      <c r="D399" s="10"/>
      <c r="E399" s="10"/>
      <c r="F399" s="10"/>
      <c r="G399" s="6"/>
      <c r="H399" s="6"/>
      <c r="I399" s="6"/>
      <c r="J399" s="6"/>
      <c r="K399" s="10"/>
      <c r="L399" s="10"/>
      <c r="M399" s="1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10"/>
      <c r="D400" s="10"/>
      <c r="E400" s="10"/>
      <c r="F400" s="10"/>
      <c r="G400" s="6"/>
      <c r="H400" s="6"/>
      <c r="I400" s="6"/>
      <c r="J400" s="6"/>
      <c r="K400" s="10"/>
      <c r="L400" s="10"/>
      <c r="M400" s="1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10"/>
      <c r="D401" s="10"/>
      <c r="E401" s="10"/>
      <c r="F401" s="10"/>
      <c r="G401" s="6"/>
      <c r="H401" s="6"/>
      <c r="I401" s="6"/>
      <c r="J401" s="6"/>
      <c r="K401" s="10"/>
      <c r="L401" s="10"/>
      <c r="M401" s="1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10"/>
      <c r="D402" s="10"/>
      <c r="E402" s="10"/>
      <c r="F402" s="10"/>
      <c r="G402" s="6"/>
      <c r="H402" s="6"/>
      <c r="I402" s="6"/>
      <c r="J402" s="6"/>
      <c r="K402" s="10"/>
      <c r="L402" s="10"/>
      <c r="M402" s="1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10"/>
      <c r="D403" s="10"/>
      <c r="E403" s="10"/>
      <c r="F403" s="10"/>
      <c r="G403" s="6"/>
      <c r="H403" s="6"/>
      <c r="I403" s="6"/>
      <c r="J403" s="6"/>
      <c r="K403" s="10"/>
      <c r="L403" s="10"/>
      <c r="M403" s="1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10"/>
      <c r="D404" s="10"/>
      <c r="E404" s="10"/>
      <c r="F404" s="10"/>
      <c r="G404" s="6"/>
      <c r="H404" s="6"/>
      <c r="I404" s="6"/>
      <c r="J404" s="6"/>
      <c r="K404" s="10"/>
      <c r="L404" s="10"/>
      <c r="M404" s="1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10"/>
      <c r="D405" s="10"/>
      <c r="E405" s="10"/>
      <c r="F405" s="10"/>
      <c r="G405" s="6"/>
      <c r="H405" s="6"/>
      <c r="I405" s="6"/>
      <c r="J405" s="6"/>
      <c r="K405" s="10"/>
      <c r="L405" s="10"/>
      <c r="M405" s="1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10"/>
      <c r="D406" s="10"/>
      <c r="E406" s="10"/>
      <c r="F406" s="10"/>
      <c r="G406" s="6"/>
      <c r="H406" s="6"/>
      <c r="I406" s="6"/>
      <c r="J406" s="6"/>
      <c r="K406" s="10"/>
      <c r="L406" s="10"/>
      <c r="M406" s="1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10"/>
      <c r="D407" s="10"/>
      <c r="E407" s="10"/>
      <c r="F407" s="10"/>
      <c r="G407" s="6"/>
      <c r="H407" s="6"/>
      <c r="I407" s="6"/>
      <c r="J407" s="6"/>
      <c r="K407" s="10"/>
      <c r="L407" s="10"/>
      <c r="M407" s="1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10"/>
      <c r="D408" s="10"/>
      <c r="E408" s="10"/>
      <c r="F408" s="10"/>
      <c r="G408" s="6"/>
      <c r="H408" s="6"/>
      <c r="I408" s="6"/>
      <c r="J408" s="6"/>
      <c r="K408" s="10"/>
      <c r="L408" s="10"/>
      <c r="M408" s="1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10"/>
      <c r="D409" s="10"/>
      <c r="E409" s="10"/>
      <c r="F409" s="10"/>
      <c r="G409" s="6"/>
      <c r="H409" s="6"/>
      <c r="I409" s="6"/>
      <c r="J409" s="6"/>
      <c r="K409" s="10"/>
      <c r="L409" s="10"/>
      <c r="M409" s="1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10"/>
      <c r="D410" s="10"/>
      <c r="E410" s="10"/>
      <c r="F410" s="10"/>
      <c r="G410" s="6"/>
      <c r="H410" s="6"/>
      <c r="I410" s="6"/>
      <c r="J410" s="6"/>
      <c r="K410" s="10"/>
      <c r="L410" s="10"/>
      <c r="M410" s="1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10"/>
      <c r="D411" s="10"/>
      <c r="E411" s="10"/>
      <c r="F411" s="10"/>
      <c r="G411" s="6"/>
      <c r="H411" s="6"/>
      <c r="I411" s="6"/>
      <c r="J411" s="6"/>
      <c r="K411" s="10"/>
      <c r="L411" s="10"/>
      <c r="M411" s="1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10"/>
      <c r="D412" s="10"/>
      <c r="E412" s="10"/>
      <c r="F412" s="10"/>
      <c r="G412" s="6"/>
      <c r="H412" s="6"/>
      <c r="I412" s="6"/>
      <c r="J412" s="6"/>
      <c r="K412" s="10"/>
      <c r="L412" s="10"/>
      <c r="M412" s="1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10"/>
      <c r="D413" s="10"/>
      <c r="E413" s="10"/>
      <c r="F413" s="10"/>
      <c r="G413" s="6"/>
      <c r="H413" s="6"/>
      <c r="I413" s="6"/>
      <c r="J413" s="6"/>
      <c r="K413" s="10"/>
      <c r="L413" s="10"/>
      <c r="M413" s="1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10"/>
      <c r="D414" s="10"/>
      <c r="E414" s="10"/>
      <c r="F414" s="10"/>
      <c r="G414" s="6"/>
      <c r="H414" s="6"/>
      <c r="I414" s="6"/>
      <c r="J414" s="6"/>
      <c r="K414" s="10"/>
      <c r="L414" s="10"/>
      <c r="M414" s="1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10"/>
      <c r="D415" s="10"/>
      <c r="E415" s="10"/>
      <c r="F415" s="10"/>
      <c r="G415" s="6"/>
      <c r="H415" s="6"/>
      <c r="I415" s="6"/>
      <c r="J415" s="6"/>
      <c r="K415" s="10"/>
      <c r="L415" s="10"/>
      <c r="M415" s="1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10"/>
      <c r="D416" s="10"/>
      <c r="E416" s="10"/>
      <c r="F416" s="10"/>
      <c r="G416" s="6"/>
      <c r="H416" s="6"/>
      <c r="I416" s="6"/>
      <c r="J416" s="6"/>
      <c r="K416" s="10"/>
      <c r="L416" s="10"/>
      <c r="M416" s="1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10"/>
      <c r="D417" s="10"/>
      <c r="E417" s="10"/>
      <c r="F417" s="10"/>
      <c r="G417" s="6"/>
      <c r="H417" s="6"/>
      <c r="I417" s="6"/>
      <c r="J417" s="6"/>
      <c r="K417" s="10"/>
      <c r="L417" s="10"/>
      <c r="M417" s="1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10"/>
      <c r="D418" s="10"/>
      <c r="E418" s="10"/>
      <c r="F418" s="10"/>
      <c r="G418" s="6"/>
      <c r="H418" s="6"/>
      <c r="I418" s="6"/>
      <c r="J418" s="6"/>
      <c r="K418" s="10"/>
      <c r="L418" s="10"/>
      <c r="M418" s="1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10"/>
      <c r="D419" s="10"/>
      <c r="E419" s="10"/>
      <c r="F419" s="10"/>
      <c r="G419" s="6"/>
      <c r="H419" s="6"/>
      <c r="I419" s="6"/>
      <c r="J419" s="6"/>
      <c r="K419" s="10"/>
      <c r="L419" s="10"/>
      <c r="M419" s="1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10"/>
      <c r="D420" s="10"/>
      <c r="E420" s="10"/>
      <c r="F420" s="10"/>
      <c r="G420" s="6"/>
      <c r="H420" s="6"/>
      <c r="I420" s="6"/>
      <c r="J420" s="6"/>
      <c r="K420" s="10"/>
      <c r="L420" s="10"/>
      <c r="M420" s="1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10"/>
      <c r="D421" s="10"/>
      <c r="E421" s="10"/>
      <c r="F421" s="10"/>
      <c r="G421" s="6"/>
      <c r="H421" s="6"/>
      <c r="I421" s="6"/>
      <c r="J421" s="6"/>
      <c r="K421" s="10"/>
      <c r="L421" s="10"/>
      <c r="M421" s="1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10"/>
      <c r="D422" s="10"/>
      <c r="E422" s="10"/>
      <c r="F422" s="10"/>
      <c r="G422" s="6"/>
      <c r="H422" s="6"/>
      <c r="I422" s="6"/>
      <c r="J422" s="6"/>
      <c r="K422" s="10"/>
      <c r="L422" s="10"/>
      <c r="M422" s="1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10"/>
      <c r="D423" s="10"/>
      <c r="E423" s="10"/>
      <c r="F423" s="10"/>
      <c r="G423" s="6"/>
      <c r="H423" s="6"/>
      <c r="I423" s="6"/>
      <c r="J423" s="6"/>
      <c r="K423" s="10"/>
      <c r="L423" s="10"/>
      <c r="M423" s="1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10"/>
      <c r="D424" s="10"/>
      <c r="E424" s="10"/>
      <c r="F424" s="10"/>
      <c r="G424" s="6"/>
      <c r="H424" s="6"/>
      <c r="I424" s="6"/>
      <c r="J424" s="6"/>
      <c r="K424" s="10"/>
      <c r="L424" s="10"/>
      <c r="M424" s="1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10"/>
      <c r="D425" s="10"/>
      <c r="E425" s="10"/>
      <c r="F425" s="10"/>
      <c r="G425" s="6"/>
      <c r="H425" s="6"/>
      <c r="I425" s="6"/>
      <c r="J425" s="6"/>
      <c r="K425" s="10"/>
      <c r="L425" s="10"/>
      <c r="M425" s="1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10"/>
      <c r="D426" s="10"/>
      <c r="E426" s="10"/>
      <c r="F426" s="10"/>
      <c r="G426" s="6"/>
      <c r="H426" s="6"/>
      <c r="I426" s="6"/>
      <c r="J426" s="6"/>
      <c r="K426" s="10"/>
      <c r="L426" s="10"/>
      <c r="M426" s="1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10"/>
      <c r="D427" s="10"/>
      <c r="E427" s="10"/>
      <c r="F427" s="10"/>
      <c r="G427" s="6"/>
      <c r="H427" s="6"/>
      <c r="I427" s="6"/>
      <c r="J427" s="6"/>
      <c r="K427" s="10"/>
      <c r="L427" s="10"/>
      <c r="M427" s="1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10"/>
      <c r="D428" s="10"/>
      <c r="E428" s="10"/>
      <c r="F428" s="10"/>
      <c r="G428" s="6"/>
      <c r="H428" s="6"/>
      <c r="I428" s="6"/>
      <c r="J428" s="6"/>
      <c r="K428" s="10"/>
      <c r="L428" s="10"/>
      <c r="M428" s="1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10"/>
      <c r="D429" s="10"/>
      <c r="E429" s="10"/>
      <c r="F429" s="10"/>
      <c r="G429" s="6"/>
      <c r="H429" s="6"/>
      <c r="I429" s="6"/>
      <c r="J429" s="6"/>
      <c r="K429" s="10"/>
      <c r="L429" s="10"/>
      <c r="M429" s="1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10"/>
      <c r="D430" s="10"/>
      <c r="E430" s="10"/>
      <c r="F430" s="10"/>
      <c r="G430" s="6"/>
      <c r="H430" s="6"/>
      <c r="I430" s="6"/>
      <c r="J430" s="6"/>
      <c r="K430" s="10"/>
      <c r="L430" s="10"/>
      <c r="M430" s="1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10"/>
      <c r="D431" s="10"/>
      <c r="E431" s="10"/>
      <c r="F431" s="10"/>
      <c r="G431" s="6"/>
      <c r="H431" s="6"/>
      <c r="I431" s="6"/>
      <c r="J431" s="6"/>
      <c r="K431" s="10"/>
      <c r="L431" s="10"/>
      <c r="M431" s="1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10"/>
      <c r="D432" s="10"/>
      <c r="E432" s="10"/>
      <c r="F432" s="10"/>
      <c r="G432" s="6"/>
      <c r="H432" s="6"/>
      <c r="I432" s="6"/>
      <c r="J432" s="6"/>
      <c r="K432" s="10"/>
      <c r="L432" s="10"/>
      <c r="M432" s="1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10"/>
      <c r="D433" s="10"/>
      <c r="E433" s="10"/>
      <c r="F433" s="10"/>
      <c r="G433" s="6"/>
      <c r="H433" s="6"/>
      <c r="I433" s="6"/>
      <c r="J433" s="6"/>
      <c r="K433" s="10"/>
      <c r="L433" s="10"/>
      <c r="M433" s="1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10"/>
      <c r="D434" s="10"/>
      <c r="E434" s="10"/>
      <c r="F434" s="10"/>
      <c r="G434" s="6"/>
      <c r="H434" s="6"/>
      <c r="I434" s="6"/>
      <c r="J434" s="6"/>
      <c r="K434" s="10"/>
      <c r="L434" s="10"/>
      <c r="M434" s="1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10"/>
      <c r="D435" s="10"/>
      <c r="E435" s="10"/>
      <c r="F435" s="10"/>
      <c r="G435" s="6"/>
      <c r="H435" s="6"/>
      <c r="I435" s="6"/>
      <c r="J435" s="6"/>
      <c r="K435" s="10"/>
      <c r="L435" s="10"/>
      <c r="M435" s="1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10"/>
      <c r="D436" s="10"/>
      <c r="E436" s="10"/>
      <c r="F436" s="10"/>
      <c r="G436" s="6"/>
      <c r="H436" s="6"/>
      <c r="I436" s="6"/>
      <c r="J436" s="6"/>
      <c r="K436" s="10"/>
      <c r="L436" s="10"/>
      <c r="M436" s="1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10"/>
      <c r="D437" s="10"/>
      <c r="E437" s="10"/>
      <c r="F437" s="10"/>
      <c r="G437" s="6"/>
      <c r="H437" s="6"/>
      <c r="I437" s="6"/>
      <c r="J437" s="6"/>
      <c r="K437" s="10"/>
      <c r="L437" s="10"/>
      <c r="M437" s="1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10"/>
      <c r="D438" s="10"/>
      <c r="E438" s="10"/>
      <c r="F438" s="10"/>
      <c r="G438" s="6"/>
      <c r="H438" s="6"/>
      <c r="I438" s="6"/>
      <c r="J438" s="6"/>
      <c r="K438" s="10"/>
      <c r="L438" s="10"/>
      <c r="M438" s="1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10"/>
      <c r="D439" s="10"/>
      <c r="E439" s="10"/>
      <c r="F439" s="10"/>
      <c r="G439" s="6"/>
      <c r="H439" s="6"/>
      <c r="I439" s="6"/>
      <c r="J439" s="6"/>
      <c r="K439" s="10"/>
      <c r="L439" s="10"/>
      <c r="M439" s="1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10"/>
      <c r="D440" s="10"/>
      <c r="E440" s="10"/>
      <c r="F440" s="10"/>
      <c r="G440" s="6"/>
      <c r="H440" s="6"/>
      <c r="I440" s="6"/>
      <c r="J440" s="6"/>
      <c r="K440" s="10"/>
      <c r="L440" s="10"/>
      <c r="M440" s="1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10"/>
      <c r="D441" s="10"/>
      <c r="E441" s="10"/>
      <c r="F441" s="10"/>
      <c r="G441" s="6"/>
      <c r="H441" s="6"/>
      <c r="I441" s="6"/>
      <c r="J441" s="6"/>
      <c r="K441" s="10"/>
      <c r="L441" s="10"/>
      <c r="M441" s="1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10"/>
      <c r="D442" s="10"/>
      <c r="E442" s="10"/>
      <c r="F442" s="10"/>
      <c r="G442" s="6"/>
      <c r="H442" s="6"/>
      <c r="I442" s="6"/>
      <c r="J442" s="6"/>
      <c r="K442" s="10"/>
      <c r="L442" s="10"/>
      <c r="M442" s="1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10"/>
      <c r="D443" s="10"/>
      <c r="E443" s="10"/>
      <c r="F443" s="10"/>
      <c r="G443" s="6"/>
      <c r="H443" s="6"/>
      <c r="I443" s="6"/>
      <c r="J443" s="6"/>
      <c r="K443" s="10"/>
      <c r="L443" s="10"/>
      <c r="M443" s="1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10"/>
      <c r="D444" s="10"/>
      <c r="E444" s="10"/>
      <c r="F444" s="10"/>
      <c r="G444" s="6"/>
      <c r="H444" s="6"/>
      <c r="I444" s="6"/>
      <c r="J444" s="6"/>
      <c r="K444" s="10"/>
      <c r="L444" s="10"/>
      <c r="M444" s="1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10"/>
      <c r="D445" s="10"/>
      <c r="E445" s="10"/>
      <c r="F445" s="10"/>
      <c r="G445" s="6"/>
      <c r="H445" s="6"/>
      <c r="I445" s="6"/>
      <c r="J445" s="6"/>
      <c r="K445" s="10"/>
      <c r="L445" s="10"/>
      <c r="M445" s="1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10"/>
      <c r="D446" s="10"/>
      <c r="E446" s="10"/>
      <c r="F446" s="10"/>
      <c r="G446" s="6"/>
      <c r="H446" s="6"/>
      <c r="I446" s="6"/>
      <c r="J446" s="6"/>
      <c r="K446" s="10"/>
      <c r="L446" s="10"/>
      <c r="M446" s="1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10"/>
      <c r="D447" s="10"/>
      <c r="E447" s="10"/>
      <c r="F447" s="10"/>
      <c r="G447" s="6"/>
      <c r="H447" s="6"/>
      <c r="I447" s="6"/>
      <c r="J447" s="6"/>
      <c r="K447" s="10"/>
      <c r="L447" s="10"/>
      <c r="M447" s="1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10"/>
      <c r="D448" s="10"/>
      <c r="E448" s="10"/>
      <c r="F448" s="10"/>
      <c r="G448" s="6"/>
      <c r="H448" s="6"/>
      <c r="I448" s="6"/>
      <c r="J448" s="6"/>
      <c r="K448" s="10"/>
      <c r="L448" s="10"/>
      <c r="M448" s="1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10"/>
      <c r="D449" s="10"/>
      <c r="E449" s="10"/>
      <c r="F449" s="10"/>
      <c r="G449" s="6"/>
      <c r="H449" s="6"/>
      <c r="I449" s="6"/>
      <c r="J449" s="6"/>
      <c r="K449" s="10"/>
      <c r="L449" s="10"/>
      <c r="M449" s="1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10"/>
      <c r="D450" s="10"/>
      <c r="E450" s="10"/>
      <c r="F450" s="10"/>
      <c r="G450" s="6"/>
      <c r="H450" s="6"/>
      <c r="I450" s="6"/>
      <c r="J450" s="6"/>
      <c r="K450" s="10"/>
      <c r="L450" s="10"/>
      <c r="M450" s="1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10"/>
      <c r="D451" s="10"/>
      <c r="E451" s="10"/>
      <c r="F451" s="10"/>
      <c r="G451" s="6"/>
      <c r="H451" s="6"/>
      <c r="I451" s="6"/>
      <c r="J451" s="6"/>
      <c r="K451" s="10"/>
      <c r="L451" s="10"/>
      <c r="M451" s="1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10"/>
      <c r="D452" s="10"/>
      <c r="E452" s="10"/>
      <c r="F452" s="10"/>
      <c r="G452" s="6"/>
      <c r="H452" s="6"/>
      <c r="I452" s="6"/>
      <c r="J452" s="6"/>
      <c r="K452" s="10"/>
      <c r="L452" s="10"/>
      <c r="M452" s="1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10"/>
      <c r="D453" s="10"/>
      <c r="E453" s="10"/>
      <c r="F453" s="10"/>
      <c r="G453" s="6"/>
      <c r="H453" s="6"/>
      <c r="I453" s="6"/>
      <c r="J453" s="6"/>
      <c r="K453" s="10"/>
      <c r="L453" s="10"/>
      <c r="M453" s="1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10"/>
      <c r="D454" s="10"/>
      <c r="E454" s="10"/>
      <c r="F454" s="10"/>
      <c r="G454" s="6"/>
      <c r="H454" s="6"/>
      <c r="I454" s="6"/>
      <c r="J454" s="6"/>
      <c r="K454" s="10"/>
      <c r="L454" s="10"/>
      <c r="M454" s="1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10"/>
      <c r="D455" s="10"/>
      <c r="E455" s="10"/>
      <c r="F455" s="10"/>
      <c r="G455" s="6"/>
      <c r="H455" s="6"/>
      <c r="I455" s="6"/>
      <c r="J455" s="6"/>
      <c r="K455" s="10"/>
      <c r="L455" s="10"/>
      <c r="M455" s="1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10"/>
      <c r="D456" s="10"/>
      <c r="E456" s="10"/>
      <c r="F456" s="10"/>
      <c r="G456" s="6"/>
      <c r="H456" s="6"/>
      <c r="I456" s="6"/>
      <c r="J456" s="6"/>
      <c r="K456" s="10"/>
      <c r="L456" s="10"/>
      <c r="M456" s="1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10"/>
      <c r="D457" s="10"/>
      <c r="E457" s="10"/>
      <c r="F457" s="10"/>
      <c r="G457" s="6"/>
      <c r="H457" s="6"/>
      <c r="I457" s="6"/>
      <c r="J457" s="6"/>
      <c r="K457" s="10"/>
      <c r="L457" s="10"/>
      <c r="M457" s="1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10"/>
      <c r="D458" s="10"/>
      <c r="E458" s="10"/>
      <c r="F458" s="10"/>
      <c r="G458" s="6"/>
      <c r="H458" s="6"/>
      <c r="I458" s="6"/>
      <c r="J458" s="6"/>
      <c r="K458" s="10"/>
      <c r="L458" s="10"/>
      <c r="M458" s="1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10"/>
      <c r="D459" s="10"/>
      <c r="E459" s="10"/>
      <c r="F459" s="10"/>
      <c r="G459" s="6"/>
      <c r="H459" s="6"/>
      <c r="I459" s="6"/>
      <c r="J459" s="6"/>
      <c r="K459" s="10"/>
      <c r="L459" s="10"/>
      <c r="M459" s="1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10"/>
      <c r="D460" s="10"/>
      <c r="E460" s="10"/>
      <c r="F460" s="10"/>
      <c r="G460" s="6"/>
      <c r="H460" s="6"/>
      <c r="I460" s="6"/>
      <c r="J460" s="6"/>
      <c r="K460" s="10"/>
      <c r="L460" s="10"/>
      <c r="M460" s="1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10"/>
      <c r="D461" s="10"/>
      <c r="E461" s="10"/>
      <c r="F461" s="10"/>
      <c r="G461" s="6"/>
      <c r="H461" s="6"/>
      <c r="I461" s="6"/>
      <c r="J461" s="6"/>
      <c r="K461" s="10"/>
      <c r="L461" s="10"/>
      <c r="M461" s="1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10"/>
      <c r="D462" s="10"/>
      <c r="E462" s="10"/>
      <c r="F462" s="10"/>
      <c r="G462" s="6"/>
      <c r="H462" s="6"/>
      <c r="I462" s="6"/>
      <c r="J462" s="6"/>
      <c r="K462" s="10"/>
      <c r="L462" s="10"/>
      <c r="M462" s="1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10"/>
      <c r="D463" s="10"/>
      <c r="E463" s="10"/>
      <c r="F463" s="10"/>
      <c r="G463" s="6"/>
      <c r="H463" s="6"/>
      <c r="I463" s="6"/>
      <c r="J463" s="6"/>
      <c r="K463" s="10"/>
      <c r="L463" s="10"/>
      <c r="M463" s="1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10"/>
      <c r="D464" s="10"/>
      <c r="E464" s="10"/>
      <c r="F464" s="10"/>
      <c r="G464" s="6"/>
      <c r="H464" s="6"/>
      <c r="I464" s="6"/>
      <c r="J464" s="6"/>
      <c r="K464" s="10"/>
      <c r="L464" s="10"/>
      <c r="M464" s="1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10"/>
      <c r="D465" s="10"/>
      <c r="E465" s="10"/>
      <c r="F465" s="10"/>
      <c r="G465" s="6"/>
      <c r="H465" s="6"/>
      <c r="I465" s="6"/>
      <c r="J465" s="6"/>
      <c r="K465" s="10"/>
      <c r="L465" s="10"/>
      <c r="M465" s="1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10"/>
      <c r="D466" s="10"/>
      <c r="E466" s="10"/>
      <c r="F466" s="10"/>
      <c r="G466" s="6"/>
      <c r="H466" s="6"/>
      <c r="I466" s="6"/>
      <c r="J466" s="6"/>
      <c r="K466" s="10"/>
      <c r="L466" s="10"/>
      <c r="M466" s="1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10"/>
      <c r="D467" s="10"/>
      <c r="E467" s="10"/>
      <c r="F467" s="10"/>
      <c r="G467" s="6"/>
      <c r="H467" s="6"/>
      <c r="I467" s="6"/>
      <c r="J467" s="6"/>
      <c r="K467" s="10"/>
      <c r="L467" s="10"/>
      <c r="M467" s="1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10"/>
      <c r="D468" s="10"/>
      <c r="E468" s="10"/>
      <c r="F468" s="10"/>
      <c r="G468" s="6"/>
      <c r="H468" s="6"/>
      <c r="I468" s="6"/>
      <c r="J468" s="6"/>
      <c r="K468" s="10"/>
      <c r="L468" s="10"/>
      <c r="M468" s="1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10"/>
      <c r="D469" s="10"/>
      <c r="E469" s="10"/>
      <c r="F469" s="10"/>
      <c r="G469" s="6"/>
      <c r="H469" s="6"/>
      <c r="I469" s="6"/>
      <c r="J469" s="6"/>
      <c r="K469" s="10"/>
      <c r="L469" s="10"/>
      <c r="M469" s="1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10"/>
      <c r="D470" s="10"/>
      <c r="E470" s="10"/>
      <c r="F470" s="10"/>
      <c r="G470" s="6"/>
      <c r="H470" s="6"/>
      <c r="I470" s="6"/>
      <c r="J470" s="6"/>
      <c r="K470" s="10"/>
      <c r="L470" s="10"/>
      <c r="M470" s="1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10"/>
      <c r="D471" s="10"/>
      <c r="E471" s="10"/>
      <c r="F471" s="10"/>
      <c r="G471" s="6"/>
      <c r="H471" s="6"/>
      <c r="I471" s="6"/>
      <c r="J471" s="6"/>
      <c r="K471" s="10"/>
      <c r="L471" s="10"/>
      <c r="M471" s="1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10"/>
      <c r="D472" s="10"/>
      <c r="E472" s="10"/>
      <c r="F472" s="10"/>
      <c r="G472" s="6"/>
      <c r="H472" s="6"/>
      <c r="I472" s="6"/>
      <c r="J472" s="6"/>
      <c r="K472" s="10"/>
      <c r="L472" s="10"/>
      <c r="M472" s="1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10"/>
      <c r="D473" s="10"/>
      <c r="E473" s="10"/>
      <c r="F473" s="10"/>
      <c r="G473" s="6"/>
      <c r="H473" s="6"/>
      <c r="I473" s="6"/>
      <c r="J473" s="6"/>
      <c r="K473" s="10"/>
      <c r="L473" s="10"/>
      <c r="M473" s="1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10"/>
      <c r="D474" s="10"/>
      <c r="E474" s="10"/>
      <c r="F474" s="10"/>
      <c r="G474" s="6"/>
      <c r="H474" s="6"/>
      <c r="I474" s="6"/>
      <c r="J474" s="6"/>
      <c r="K474" s="10"/>
      <c r="L474" s="10"/>
      <c r="M474" s="1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10"/>
      <c r="D475" s="10"/>
      <c r="E475" s="10"/>
      <c r="F475" s="10"/>
      <c r="G475" s="6"/>
      <c r="H475" s="6"/>
      <c r="I475" s="6"/>
      <c r="J475" s="6"/>
      <c r="K475" s="10"/>
      <c r="L475" s="10"/>
      <c r="M475" s="1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10"/>
      <c r="D476" s="10"/>
      <c r="E476" s="10"/>
      <c r="F476" s="10"/>
      <c r="G476" s="6"/>
      <c r="H476" s="6"/>
      <c r="I476" s="6"/>
      <c r="J476" s="6"/>
      <c r="K476" s="10"/>
      <c r="L476" s="10"/>
      <c r="M476" s="1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10"/>
      <c r="D477" s="10"/>
      <c r="E477" s="10"/>
      <c r="F477" s="10"/>
      <c r="G477" s="6"/>
      <c r="H477" s="6"/>
      <c r="I477" s="6"/>
      <c r="J477" s="6"/>
      <c r="K477" s="10"/>
      <c r="L477" s="10"/>
      <c r="M477" s="1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10"/>
      <c r="D478" s="10"/>
      <c r="E478" s="10"/>
      <c r="F478" s="10"/>
      <c r="G478" s="6"/>
      <c r="H478" s="6"/>
      <c r="I478" s="6"/>
      <c r="J478" s="6"/>
      <c r="K478" s="10"/>
      <c r="L478" s="10"/>
      <c r="M478" s="1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10"/>
      <c r="D479" s="10"/>
      <c r="E479" s="10"/>
      <c r="F479" s="10"/>
      <c r="G479" s="6"/>
      <c r="H479" s="6"/>
      <c r="I479" s="6"/>
      <c r="J479" s="6"/>
      <c r="K479" s="10"/>
      <c r="L479" s="10"/>
      <c r="M479" s="1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10"/>
      <c r="D480" s="10"/>
      <c r="E480" s="10"/>
      <c r="F480" s="10"/>
      <c r="G480" s="6"/>
      <c r="H480" s="6"/>
      <c r="I480" s="6"/>
      <c r="J480" s="6"/>
      <c r="K480" s="10"/>
      <c r="L480" s="10"/>
      <c r="M480" s="1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10"/>
      <c r="D481" s="10"/>
      <c r="E481" s="10"/>
      <c r="F481" s="10"/>
      <c r="G481" s="6"/>
      <c r="H481" s="6"/>
      <c r="I481" s="6"/>
      <c r="J481" s="6"/>
      <c r="K481" s="10"/>
      <c r="L481" s="10"/>
      <c r="M481" s="1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10"/>
      <c r="D482" s="10"/>
      <c r="E482" s="10"/>
      <c r="F482" s="10"/>
      <c r="G482" s="6"/>
      <c r="H482" s="6"/>
      <c r="I482" s="6"/>
      <c r="J482" s="6"/>
      <c r="K482" s="10"/>
      <c r="L482" s="10"/>
      <c r="M482" s="1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10"/>
      <c r="D483" s="10"/>
      <c r="E483" s="10"/>
      <c r="F483" s="10"/>
      <c r="G483" s="6"/>
      <c r="H483" s="6"/>
      <c r="I483" s="6"/>
      <c r="J483" s="6"/>
      <c r="K483" s="10"/>
      <c r="L483" s="10"/>
      <c r="M483" s="1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10"/>
      <c r="D484" s="10"/>
      <c r="E484" s="10"/>
      <c r="F484" s="10"/>
      <c r="G484" s="6"/>
      <c r="H484" s="6"/>
      <c r="I484" s="6"/>
      <c r="J484" s="6"/>
      <c r="K484" s="10"/>
      <c r="L484" s="10"/>
      <c r="M484" s="1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10"/>
      <c r="D485" s="10"/>
      <c r="E485" s="10"/>
      <c r="F485" s="10"/>
      <c r="G485" s="6"/>
      <c r="H485" s="6"/>
      <c r="I485" s="6"/>
      <c r="J485" s="6"/>
      <c r="K485" s="10"/>
      <c r="L485" s="10"/>
      <c r="M485" s="1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10"/>
      <c r="D486" s="10"/>
      <c r="E486" s="10"/>
      <c r="F486" s="10"/>
      <c r="G486" s="6"/>
      <c r="H486" s="6"/>
      <c r="I486" s="6"/>
      <c r="J486" s="6"/>
      <c r="K486" s="10"/>
      <c r="L486" s="10"/>
      <c r="M486" s="1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10"/>
      <c r="D487" s="10"/>
      <c r="E487" s="10"/>
      <c r="F487" s="10"/>
      <c r="G487" s="6"/>
      <c r="H487" s="6"/>
      <c r="I487" s="6"/>
      <c r="J487" s="6"/>
      <c r="K487" s="10"/>
      <c r="L487" s="10"/>
      <c r="M487" s="1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10"/>
      <c r="D488" s="10"/>
      <c r="E488" s="10"/>
      <c r="F488" s="10"/>
      <c r="G488" s="6"/>
      <c r="H488" s="6"/>
      <c r="I488" s="6"/>
      <c r="J488" s="6"/>
      <c r="K488" s="10"/>
      <c r="L488" s="10"/>
      <c r="M488" s="1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10"/>
      <c r="D489" s="10"/>
      <c r="E489" s="10"/>
      <c r="F489" s="10"/>
      <c r="G489" s="6"/>
      <c r="H489" s="6"/>
      <c r="I489" s="6"/>
      <c r="J489" s="6"/>
      <c r="K489" s="10"/>
      <c r="L489" s="10"/>
      <c r="M489" s="1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10"/>
      <c r="D490" s="10"/>
      <c r="E490" s="10"/>
      <c r="F490" s="10"/>
      <c r="G490" s="6"/>
      <c r="H490" s="6"/>
      <c r="I490" s="6"/>
      <c r="J490" s="6"/>
      <c r="K490" s="10"/>
      <c r="L490" s="10"/>
      <c r="M490" s="1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10"/>
      <c r="D491" s="10"/>
      <c r="E491" s="10"/>
      <c r="F491" s="10"/>
      <c r="G491" s="6"/>
      <c r="H491" s="6"/>
      <c r="I491" s="6"/>
      <c r="J491" s="6"/>
      <c r="K491" s="10"/>
      <c r="L491" s="10"/>
      <c r="M491" s="1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10"/>
      <c r="D492" s="10"/>
      <c r="E492" s="10"/>
      <c r="F492" s="10"/>
      <c r="G492" s="6"/>
      <c r="H492" s="6"/>
      <c r="I492" s="6"/>
      <c r="J492" s="6"/>
      <c r="K492" s="10"/>
      <c r="L492" s="10"/>
      <c r="M492" s="1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10"/>
      <c r="D493" s="10"/>
      <c r="E493" s="10"/>
      <c r="F493" s="10"/>
      <c r="G493" s="6"/>
      <c r="H493" s="6"/>
      <c r="I493" s="6"/>
      <c r="J493" s="6"/>
      <c r="K493" s="10"/>
      <c r="L493" s="10"/>
      <c r="M493" s="1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10"/>
      <c r="D494" s="10"/>
      <c r="E494" s="10"/>
      <c r="F494" s="10"/>
      <c r="G494" s="6"/>
      <c r="H494" s="6"/>
      <c r="I494" s="6"/>
      <c r="J494" s="6"/>
      <c r="K494" s="10"/>
      <c r="L494" s="10"/>
      <c r="M494" s="1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10"/>
      <c r="D495" s="10"/>
      <c r="E495" s="10"/>
      <c r="F495" s="10"/>
      <c r="G495" s="6"/>
      <c r="H495" s="6"/>
      <c r="I495" s="6"/>
      <c r="J495" s="6"/>
      <c r="K495" s="10"/>
      <c r="L495" s="10"/>
      <c r="M495" s="1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10"/>
      <c r="D496" s="10"/>
      <c r="E496" s="10"/>
      <c r="F496" s="10"/>
      <c r="G496" s="6"/>
      <c r="H496" s="6"/>
      <c r="I496" s="6"/>
      <c r="J496" s="6"/>
      <c r="K496" s="10"/>
      <c r="L496" s="10"/>
      <c r="M496" s="1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10"/>
      <c r="D497" s="10"/>
      <c r="E497" s="10"/>
      <c r="F497" s="10"/>
      <c r="G497" s="6"/>
      <c r="H497" s="6"/>
      <c r="I497" s="6"/>
      <c r="J497" s="6"/>
      <c r="K497" s="10"/>
      <c r="L497" s="10"/>
      <c r="M497" s="1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10"/>
      <c r="D498" s="10"/>
      <c r="E498" s="10"/>
      <c r="F498" s="10"/>
      <c r="G498" s="6"/>
      <c r="H498" s="6"/>
      <c r="I498" s="6"/>
      <c r="J498" s="6"/>
      <c r="K498" s="10"/>
      <c r="L498" s="10"/>
      <c r="M498" s="1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10"/>
      <c r="D499" s="10"/>
      <c r="E499" s="10"/>
      <c r="F499" s="10"/>
      <c r="G499" s="6"/>
      <c r="H499" s="6"/>
      <c r="I499" s="6"/>
      <c r="J499" s="6"/>
      <c r="K499" s="10"/>
      <c r="L499" s="10"/>
      <c r="M499" s="1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10"/>
      <c r="D500" s="10"/>
      <c r="E500" s="10"/>
      <c r="F500" s="10"/>
      <c r="G500" s="6"/>
      <c r="H500" s="6"/>
      <c r="I500" s="6"/>
      <c r="J500" s="6"/>
      <c r="K500" s="10"/>
      <c r="L500" s="10"/>
      <c r="M500" s="1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10"/>
      <c r="D501" s="10"/>
      <c r="E501" s="10"/>
      <c r="F501" s="10"/>
      <c r="G501" s="6"/>
      <c r="H501" s="6"/>
      <c r="I501" s="6"/>
      <c r="J501" s="6"/>
      <c r="K501" s="10"/>
      <c r="L501" s="10"/>
      <c r="M501" s="1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10"/>
      <c r="D502" s="10"/>
      <c r="E502" s="10"/>
      <c r="F502" s="10"/>
      <c r="G502" s="6"/>
      <c r="H502" s="6"/>
      <c r="I502" s="6"/>
      <c r="J502" s="6"/>
      <c r="K502" s="10"/>
      <c r="L502" s="10"/>
      <c r="M502" s="1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10"/>
      <c r="D503" s="10"/>
      <c r="E503" s="10"/>
      <c r="F503" s="10"/>
      <c r="G503" s="6"/>
      <c r="H503" s="6"/>
      <c r="I503" s="6"/>
      <c r="J503" s="6"/>
      <c r="K503" s="10"/>
      <c r="L503" s="10"/>
      <c r="M503" s="1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10"/>
      <c r="D504" s="10"/>
      <c r="E504" s="10"/>
      <c r="F504" s="10"/>
      <c r="G504" s="6"/>
      <c r="H504" s="6"/>
      <c r="I504" s="6"/>
      <c r="J504" s="6"/>
      <c r="K504" s="10"/>
      <c r="L504" s="10"/>
      <c r="M504" s="1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10"/>
      <c r="D505" s="10"/>
      <c r="E505" s="10"/>
      <c r="F505" s="10"/>
      <c r="G505" s="6"/>
      <c r="H505" s="6"/>
      <c r="I505" s="6"/>
      <c r="J505" s="6"/>
      <c r="K505" s="10"/>
      <c r="L505" s="10"/>
      <c r="M505" s="1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10"/>
      <c r="D506" s="10"/>
      <c r="E506" s="10"/>
      <c r="F506" s="10"/>
      <c r="G506" s="6"/>
      <c r="H506" s="6"/>
      <c r="I506" s="6"/>
      <c r="J506" s="6"/>
      <c r="K506" s="10"/>
      <c r="L506" s="10"/>
      <c r="M506" s="1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10"/>
      <c r="D507" s="10"/>
      <c r="E507" s="10"/>
      <c r="F507" s="10"/>
      <c r="G507" s="6"/>
      <c r="H507" s="6"/>
      <c r="I507" s="6"/>
      <c r="J507" s="6"/>
      <c r="K507" s="10"/>
      <c r="L507" s="10"/>
      <c r="M507" s="1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10"/>
      <c r="D508" s="10"/>
      <c r="E508" s="10"/>
      <c r="F508" s="10"/>
      <c r="G508" s="6"/>
      <c r="H508" s="6"/>
      <c r="I508" s="6"/>
      <c r="J508" s="6"/>
      <c r="K508" s="10"/>
      <c r="L508" s="10"/>
      <c r="M508" s="1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10"/>
      <c r="D509" s="10"/>
      <c r="E509" s="10"/>
      <c r="F509" s="10"/>
      <c r="G509" s="6"/>
      <c r="H509" s="6"/>
      <c r="I509" s="6"/>
      <c r="J509" s="6"/>
      <c r="K509" s="10"/>
      <c r="L509" s="10"/>
      <c r="M509" s="1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10"/>
      <c r="D510" s="10"/>
      <c r="E510" s="10"/>
      <c r="F510" s="10"/>
      <c r="G510" s="6"/>
      <c r="H510" s="6"/>
      <c r="I510" s="6"/>
      <c r="J510" s="6"/>
      <c r="K510" s="10"/>
      <c r="L510" s="10"/>
      <c r="M510" s="1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10"/>
      <c r="D511" s="10"/>
      <c r="E511" s="10"/>
      <c r="F511" s="10"/>
      <c r="G511" s="6"/>
      <c r="H511" s="6"/>
      <c r="I511" s="6"/>
      <c r="J511" s="6"/>
      <c r="K511" s="10"/>
      <c r="L511" s="10"/>
      <c r="M511" s="1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10"/>
      <c r="D512" s="10"/>
      <c r="E512" s="10"/>
      <c r="F512" s="10"/>
      <c r="G512" s="6"/>
      <c r="H512" s="6"/>
      <c r="I512" s="6"/>
      <c r="J512" s="6"/>
      <c r="K512" s="10"/>
      <c r="L512" s="10"/>
      <c r="M512" s="1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10"/>
      <c r="D513" s="10"/>
      <c r="E513" s="10"/>
      <c r="F513" s="10"/>
      <c r="G513" s="6"/>
      <c r="H513" s="6"/>
      <c r="I513" s="6"/>
      <c r="J513" s="6"/>
      <c r="K513" s="10"/>
      <c r="L513" s="10"/>
      <c r="M513" s="1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10"/>
      <c r="D514" s="10"/>
      <c r="E514" s="10"/>
      <c r="F514" s="10"/>
      <c r="G514" s="6"/>
      <c r="H514" s="6"/>
      <c r="I514" s="6"/>
      <c r="J514" s="6"/>
      <c r="K514" s="10"/>
      <c r="L514" s="10"/>
      <c r="M514" s="1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10"/>
      <c r="D515" s="10"/>
      <c r="E515" s="10"/>
      <c r="F515" s="10"/>
      <c r="G515" s="6"/>
      <c r="H515" s="6"/>
      <c r="I515" s="6"/>
      <c r="J515" s="6"/>
      <c r="K515" s="10"/>
      <c r="L515" s="10"/>
      <c r="M515" s="1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10"/>
      <c r="D516" s="10"/>
      <c r="E516" s="10"/>
      <c r="F516" s="10"/>
      <c r="G516" s="6"/>
      <c r="H516" s="6"/>
      <c r="I516" s="6"/>
      <c r="J516" s="6"/>
      <c r="K516" s="10"/>
      <c r="L516" s="10"/>
      <c r="M516" s="1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10"/>
      <c r="D517" s="10"/>
      <c r="E517" s="10"/>
      <c r="F517" s="10"/>
      <c r="G517" s="6"/>
      <c r="H517" s="6"/>
      <c r="I517" s="6"/>
      <c r="J517" s="6"/>
      <c r="K517" s="10"/>
      <c r="L517" s="10"/>
      <c r="M517" s="1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10"/>
      <c r="D518" s="10"/>
      <c r="E518" s="10"/>
      <c r="F518" s="10"/>
      <c r="G518" s="6"/>
      <c r="H518" s="6"/>
      <c r="I518" s="6"/>
      <c r="J518" s="6"/>
      <c r="K518" s="10"/>
      <c r="L518" s="10"/>
      <c r="M518" s="1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10"/>
      <c r="D519" s="10"/>
      <c r="E519" s="10"/>
      <c r="F519" s="10"/>
      <c r="G519" s="6"/>
      <c r="H519" s="6"/>
      <c r="I519" s="6"/>
      <c r="J519" s="6"/>
      <c r="K519" s="10"/>
      <c r="L519" s="10"/>
      <c r="M519" s="1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10"/>
      <c r="D520" s="10"/>
      <c r="E520" s="10"/>
      <c r="F520" s="10"/>
      <c r="G520" s="6"/>
      <c r="H520" s="6"/>
      <c r="I520" s="6"/>
      <c r="J520" s="6"/>
      <c r="K520" s="10"/>
      <c r="L520" s="10"/>
      <c r="M520" s="1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10"/>
      <c r="D521" s="10"/>
      <c r="E521" s="10"/>
      <c r="F521" s="10"/>
      <c r="G521" s="6"/>
      <c r="H521" s="6"/>
      <c r="I521" s="6"/>
      <c r="J521" s="6"/>
      <c r="K521" s="10"/>
      <c r="L521" s="10"/>
      <c r="M521" s="1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10"/>
      <c r="D522" s="10"/>
      <c r="E522" s="10"/>
      <c r="F522" s="10"/>
      <c r="G522" s="6"/>
      <c r="H522" s="6"/>
      <c r="I522" s="6"/>
      <c r="J522" s="6"/>
      <c r="K522" s="10"/>
      <c r="L522" s="10"/>
      <c r="M522" s="1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10"/>
      <c r="D523" s="10"/>
      <c r="E523" s="10"/>
      <c r="F523" s="10"/>
      <c r="G523" s="6"/>
      <c r="H523" s="6"/>
      <c r="I523" s="6"/>
      <c r="J523" s="6"/>
      <c r="K523" s="10"/>
      <c r="L523" s="10"/>
      <c r="M523" s="1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10"/>
      <c r="D524" s="10"/>
      <c r="E524" s="10"/>
      <c r="F524" s="10"/>
      <c r="G524" s="6"/>
      <c r="H524" s="6"/>
      <c r="I524" s="6"/>
      <c r="J524" s="6"/>
      <c r="K524" s="10"/>
      <c r="L524" s="10"/>
      <c r="M524" s="1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10"/>
      <c r="D525" s="10"/>
      <c r="E525" s="10"/>
      <c r="F525" s="10"/>
      <c r="G525" s="6"/>
      <c r="H525" s="6"/>
      <c r="I525" s="6"/>
      <c r="J525" s="6"/>
      <c r="K525" s="10"/>
      <c r="L525" s="10"/>
      <c r="M525" s="1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10"/>
      <c r="D526" s="10"/>
      <c r="E526" s="10"/>
      <c r="F526" s="10"/>
      <c r="G526" s="6"/>
      <c r="H526" s="6"/>
      <c r="I526" s="6"/>
      <c r="J526" s="6"/>
      <c r="K526" s="10"/>
      <c r="L526" s="10"/>
      <c r="M526" s="1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10"/>
      <c r="D527" s="10"/>
      <c r="E527" s="10"/>
      <c r="F527" s="10"/>
      <c r="G527" s="6"/>
      <c r="H527" s="6"/>
      <c r="I527" s="6"/>
      <c r="J527" s="6"/>
      <c r="K527" s="10"/>
      <c r="L527" s="10"/>
      <c r="M527" s="1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10"/>
      <c r="D528" s="10"/>
      <c r="E528" s="10"/>
      <c r="F528" s="10"/>
      <c r="G528" s="6"/>
      <c r="H528" s="6"/>
      <c r="I528" s="6"/>
      <c r="J528" s="6"/>
      <c r="K528" s="10"/>
      <c r="L528" s="10"/>
      <c r="M528" s="1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10"/>
      <c r="D529" s="10"/>
      <c r="E529" s="10"/>
      <c r="F529" s="10"/>
      <c r="G529" s="6"/>
      <c r="H529" s="6"/>
      <c r="I529" s="6"/>
      <c r="J529" s="6"/>
      <c r="K529" s="10"/>
      <c r="L529" s="10"/>
      <c r="M529" s="1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10"/>
      <c r="D530" s="10"/>
      <c r="E530" s="10"/>
      <c r="F530" s="10"/>
      <c r="G530" s="6"/>
      <c r="H530" s="6"/>
      <c r="I530" s="6"/>
      <c r="J530" s="6"/>
      <c r="K530" s="10"/>
      <c r="L530" s="10"/>
      <c r="M530" s="1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10"/>
      <c r="D531" s="10"/>
      <c r="E531" s="10"/>
      <c r="F531" s="10"/>
      <c r="G531" s="6"/>
      <c r="H531" s="6"/>
      <c r="I531" s="6"/>
      <c r="J531" s="6"/>
      <c r="K531" s="10"/>
      <c r="L531" s="10"/>
      <c r="M531" s="1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10"/>
      <c r="D532" s="10"/>
      <c r="E532" s="10"/>
      <c r="F532" s="10"/>
      <c r="G532" s="6"/>
      <c r="H532" s="6"/>
      <c r="I532" s="6"/>
      <c r="J532" s="6"/>
      <c r="K532" s="10"/>
      <c r="L532" s="10"/>
      <c r="M532" s="1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10"/>
      <c r="D533" s="10"/>
      <c r="E533" s="10"/>
      <c r="F533" s="10"/>
      <c r="G533" s="6"/>
      <c r="H533" s="6"/>
      <c r="I533" s="6"/>
      <c r="J533" s="6"/>
      <c r="K533" s="10"/>
      <c r="L533" s="10"/>
      <c r="M533" s="1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10"/>
      <c r="D534" s="10"/>
      <c r="E534" s="10"/>
      <c r="F534" s="10"/>
      <c r="G534" s="6"/>
      <c r="H534" s="6"/>
      <c r="I534" s="6"/>
      <c r="J534" s="6"/>
      <c r="K534" s="10"/>
      <c r="L534" s="10"/>
      <c r="M534" s="1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10"/>
      <c r="D535" s="10"/>
      <c r="E535" s="10"/>
      <c r="F535" s="10"/>
      <c r="G535" s="6"/>
      <c r="H535" s="6"/>
      <c r="I535" s="6"/>
      <c r="J535" s="6"/>
      <c r="K535" s="10"/>
      <c r="L535" s="10"/>
      <c r="M535" s="1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10"/>
      <c r="D536" s="10"/>
      <c r="E536" s="10"/>
      <c r="F536" s="10"/>
      <c r="G536" s="6"/>
      <c r="H536" s="6"/>
      <c r="I536" s="6"/>
      <c r="J536" s="6"/>
      <c r="K536" s="10"/>
      <c r="L536" s="10"/>
      <c r="M536" s="1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10"/>
      <c r="D537" s="10"/>
      <c r="E537" s="10"/>
      <c r="F537" s="10"/>
      <c r="G537" s="6"/>
      <c r="H537" s="6"/>
      <c r="I537" s="6"/>
      <c r="J537" s="6"/>
      <c r="K537" s="10"/>
      <c r="L537" s="10"/>
      <c r="M537" s="1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10"/>
      <c r="D538" s="10"/>
      <c r="E538" s="10"/>
      <c r="F538" s="10"/>
      <c r="G538" s="6"/>
      <c r="H538" s="6"/>
      <c r="I538" s="6"/>
      <c r="J538" s="6"/>
      <c r="K538" s="10"/>
      <c r="L538" s="10"/>
      <c r="M538" s="1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10"/>
      <c r="D539" s="10"/>
      <c r="E539" s="10"/>
      <c r="F539" s="10"/>
      <c r="G539" s="6"/>
      <c r="H539" s="6"/>
      <c r="I539" s="6"/>
      <c r="J539" s="6"/>
      <c r="K539" s="10"/>
      <c r="L539" s="10"/>
      <c r="M539" s="1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10"/>
      <c r="D540" s="10"/>
      <c r="E540" s="10"/>
      <c r="F540" s="10"/>
      <c r="G540" s="6"/>
      <c r="H540" s="6"/>
      <c r="I540" s="6"/>
      <c r="J540" s="6"/>
      <c r="K540" s="10"/>
      <c r="L540" s="10"/>
      <c r="M540" s="1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10"/>
      <c r="D541" s="10"/>
      <c r="E541" s="10"/>
      <c r="F541" s="10"/>
      <c r="G541" s="6"/>
      <c r="H541" s="6"/>
      <c r="I541" s="6"/>
      <c r="J541" s="6"/>
      <c r="K541" s="10"/>
      <c r="L541" s="10"/>
      <c r="M541" s="1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10"/>
      <c r="D542" s="10"/>
      <c r="E542" s="10"/>
      <c r="F542" s="10"/>
      <c r="G542" s="6"/>
      <c r="H542" s="6"/>
      <c r="I542" s="6"/>
      <c r="J542" s="6"/>
      <c r="K542" s="10"/>
      <c r="L542" s="10"/>
      <c r="M542" s="1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10"/>
      <c r="D543" s="10"/>
      <c r="E543" s="10"/>
      <c r="F543" s="10"/>
      <c r="G543" s="6"/>
      <c r="H543" s="6"/>
      <c r="I543" s="6"/>
      <c r="J543" s="6"/>
      <c r="K543" s="10"/>
      <c r="L543" s="10"/>
      <c r="M543" s="1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10"/>
      <c r="D544" s="10"/>
      <c r="E544" s="10"/>
      <c r="F544" s="10"/>
      <c r="G544" s="6"/>
      <c r="H544" s="6"/>
      <c r="I544" s="6"/>
      <c r="J544" s="6"/>
      <c r="K544" s="10"/>
      <c r="L544" s="10"/>
      <c r="M544" s="1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10"/>
      <c r="D545" s="10"/>
      <c r="E545" s="10"/>
      <c r="F545" s="10"/>
      <c r="G545" s="6"/>
      <c r="H545" s="6"/>
      <c r="I545" s="6"/>
      <c r="J545" s="6"/>
      <c r="K545" s="10"/>
      <c r="L545" s="10"/>
      <c r="M545" s="1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10"/>
      <c r="D546" s="10"/>
      <c r="E546" s="10"/>
      <c r="F546" s="10"/>
      <c r="G546" s="6"/>
      <c r="H546" s="6"/>
      <c r="I546" s="6"/>
      <c r="J546" s="6"/>
      <c r="K546" s="10"/>
      <c r="L546" s="10"/>
      <c r="M546" s="1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10"/>
      <c r="D547" s="10"/>
      <c r="E547" s="10"/>
      <c r="F547" s="10"/>
      <c r="G547" s="6"/>
      <c r="H547" s="6"/>
      <c r="I547" s="6"/>
      <c r="J547" s="6"/>
      <c r="K547" s="10"/>
      <c r="L547" s="10"/>
      <c r="M547" s="1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10"/>
      <c r="D548" s="10"/>
      <c r="E548" s="10"/>
      <c r="F548" s="10"/>
      <c r="G548" s="6"/>
      <c r="H548" s="6"/>
      <c r="I548" s="6"/>
      <c r="J548" s="6"/>
      <c r="K548" s="10"/>
      <c r="L548" s="10"/>
      <c r="M548" s="1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10"/>
      <c r="D549" s="10"/>
      <c r="E549" s="10"/>
      <c r="F549" s="10"/>
      <c r="G549" s="6"/>
      <c r="H549" s="6"/>
      <c r="I549" s="6"/>
      <c r="J549" s="6"/>
      <c r="K549" s="10"/>
      <c r="L549" s="10"/>
      <c r="M549" s="1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10"/>
      <c r="D550" s="10"/>
      <c r="E550" s="10"/>
      <c r="F550" s="10"/>
      <c r="G550" s="6"/>
      <c r="H550" s="6"/>
      <c r="I550" s="6"/>
      <c r="J550" s="6"/>
      <c r="K550" s="10"/>
      <c r="L550" s="10"/>
      <c r="M550" s="1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10"/>
      <c r="D551" s="10"/>
      <c r="E551" s="10"/>
      <c r="F551" s="10"/>
      <c r="G551" s="6"/>
      <c r="H551" s="6"/>
      <c r="I551" s="6"/>
      <c r="J551" s="6"/>
      <c r="K551" s="10"/>
      <c r="L551" s="10"/>
      <c r="M551" s="1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10"/>
      <c r="D552" s="10"/>
      <c r="E552" s="10"/>
      <c r="F552" s="10"/>
      <c r="G552" s="6"/>
      <c r="H552" s="6"/>
      <c r="I552" s="6"/>
      <c r="J552" s="6"/>
      <c r="K552" s="10"/>
      <c r="L552" s="10"/>
      <c r="M552" s="1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10"/>
      <c r="D553" s="10"/>
      <c r="E553" s="10"/>
      <c r="F553" s="10"/>
      <c r="G553" s="6"/>
      <c r="H553" s="6"/>
      <c r="I553" s="6"/>
      <c r="J553" s="6"/>
      <c r="K553" s="10"/>
      <c r="L553" s="10"/>
      <c r="M553" s="1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10"/>
      <c r="D554" s="10"/>
      <c r="E554" s="10"/>
      <c r="F554" s="10"/>
      <c r="G554" s="6"/>
      <c r="H554" s="6"/>
      <c r="I554" s="6"/>
      <c r="J554" s="6"/>
      <c r="K554" s="10"/>
      <c r="L554" s="10"/>
      <c r="M554" s="1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10"/>
      <c r="D555" s="10"/>
      <c r="E555" s="10"/>
      <c r="F555" s="10"/>
      <c r="G555" s="6"/>
      <c r="H555" s="6"/>
      <c r="I555" s="6"/>
      <c r="J555" s="6"/>
      <c r="K555" s="10"/>
      <c r="L555" s="10"/>
      <c r="M555" s="1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10"/>
      <c r="D556" s="10"/>
      <c r="E556" s="10"/>
      <c r="F556" s="10"/>
      <c r="G556" s="6"/>
      <c r="H556" s="6"/>
      <c r="I556" s="6"/>
      <c r="J556" s="6"/>
      <c r="K556" s="10"/>
      <c r="L556" s="10"/>
      <c r="M556" s="1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10"/>
      <c r="D557" s="10"/>
      <c r="E557" s="10"/>
      <c r="F557" s="10"/>
      <c r="G557" s="6"/>
      <c r="H557" s="6"/>
      <c r="I557" s="6"/>
      <c r="J557" s="6"/>
      <c r="K557" s="10"/>
      <c r="L557" s="10"/>
      <c r="M557" s="1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10"/>
      <c r="D558" s="10"/>
      <c r="E558" s="10"/>
      <c r="F558" s="10"/>
      <c r="G558" s="6"/>
      <c r="H558" s="6"/>
      <c r="I558" s="6"/>
      <c r="J558" s="6"/>
      <c r="K558" s="10"/>
      <c r="L558" s="10"/>
      <c r="M558" s="1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10"/>
      <c r="D559" s="10"/>
      <c r="E559" s="10"/>
      <c r="F559" s="10"/>
      <c r="G559" s="6"/>
      <c r="H559" s="6"/>
      <c r="I559" s="6"/>
      <c r="J559" s="6"/>
      <c r="K559" s="10"/>
      <c r="L559" s="10"/>
      <c r="M559" s="1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10"/>
      <c r="D560" s="10"/>
      <c r="E560" s="10"/>
      <c r="F560" s="10"/>
      <c r="G560" s="6"/>
      <c r="H560" s="6"/>
      <c r="I560" s="6"/>
      <c r="J560" s="6"/>
      <c r="K560" s="10"/>
      <c r="L560" s="10"/>
      <c r="M560" s="1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10"/>
      <c r="D561" s="10"/>
      <c r="E561" s="10"/>
      <c r="F561" s="10"/>
      <c r="G561" s="6"/>
      <c r="H561" s="6"/>
      <c r="I561" s="6"/>
      <c r="J561" s="6"/>
      <c r="K561" s="10"/>
      <c r="L561" s="10"/>
      <c r="M561" s="1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10"/>
      <c r="D562" s="10"/>
      <c r="E562" s="10"/>
      <c r="F562" s="10"/>
      <c r="G562" s="6"/>
      <c r="H562" s="6"/>
      <c r="I562" s="6"/>
      <c r="J562" s="6"/>
      <c r="K562" s="10"/>
      <c r="L562" s="10"/>
      <c r="M562" s="1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10"/>
      <c r="D563" s="10"/>
      <c r="E563" s="10"/>
      <c r="F563" s="10"/>
      <c r="G563" s="6"/>
      <c r="H563" s="6"/>
      <c r="I563" s="6"/>
      <c r="J563" s="6"/>
      <c r="K563" s="10"/>
      <c r="L563" s="10"/>
      <c r="M563" s="1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10"/>
      <c r="D564" s="10"/>
      <c r="E564" s="10"/>
      <c r="F564" s="10"/>
      <c r="G564" s="6"/>
      <c r="H564" s="6"/>
      <c r="I564" s="6"/>
      <c r="J564" s="6"/>
      <c r="K564" s="10"/>
      <c r="L564" s="10"/>
      <c r="M564" s="1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10"/>
      <c r="D565" s="10"/>
      <c r="E565" s="10"/>
      <c r="F565" s="10"/>
      <c r="G565" s="6"/>
      <c r="H565" s="6"/>
      <c r="I565" s="6"/>
      <c r="J565" s="6"/>
      <c r="K565" s="10"/>
      <c r="L565" s="10"/>
      <c r="M565" s="1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10"/>
      <c r="D566" s="10"/>
      <c r="E566" s="10"/>
      <c r="F566" s="10"/>
      <c r="G566" s="6"/>
      <c r="H566" s="6"/>
      <c r="I566" s="6"/>
      <c r="J566" s="6"/>
      <c r="K566" s="10"/>
      <c r="L566" s="10"/>
      <c r="M566" s="1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10"/>
      <c r="D567" s="10"/>
      <c r="E567" s="10"/>
      <c r="F567" s="10"/>
      <c r="G567" s="6"/>
      <c r="H567" s="6"/>
      <c r="I567" s="6"/>
      <c r="J567" s="6"/>
      <c r="K567" s="10"/>
      <c r="L567" s="10"/>
      <c r="M567" s="1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10"/>
      <c r="D568" s="10"/>
      <c r="E568" s="10"/>
      <c r="F568" s="10"/>
      <c r="G568" s="6"/>
      <c r="H568" s="6"/>
      <c r="I568" s="6"/>
      <c r="J568" s="6"/>
      <c r="K568" s="10"/>
      <c r="L568" s="10"/>
      <c r="M568" s="1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10"/>
      <c r="D569" s="10"/>
      <c r="E569" s="10"/>
      <c r="F569" s="10"/>
      <c r="G569" s="6"/>
      <c r="H569" s="6"/>
      <c r="I569" s="6"/>
      <c r="J569" s="6"/>
      <c r="K569" s="10"/>
      <c r="L569" s="10"/>
      <c r="M569" s="1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10"/>
      <c r="D570" s="10"/>
      <c r="E570" s="10"/>
      <c r="F570" s="10"/>
      <c r="G570" s="6"/>
      <c r="H570" s="6"/>
      <c r="I570" s="6"/>
      <c r="J570" s="6"/>
      <c r="K570" s="10"/>
      <c r="L570" s="10"/>
      <c r="M570" s="1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10"/>
      <c r="D571" s="10"/>
      <c r="E571" s="10"/>
      <c r="F571" s="10"/>
      <c r="G571" s="6"/>
      <c r="H571" s="6"/>
      <c r="I571" s="6"/>
      <c r="J571" s="6"/>
      <c r="K571" s="10"/>
      <c r="L571" s="10"/>
      <c r="M571" s="1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10"/>
      <c r="D572" s="10"/>
      <c r="E572" s="10"/>
      <c r="F572" s="10"/>
      <c r="G572" s="6"/>
      <c r="H572" s="6"/>
      <c r="I572" s="6"/>
      <c r="J572" s="6"/>
      <c r="K572" s="10"/>
      <c r="L572" s="10"/>
      <c r="M572" s="1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10"/>
      <c r="D573" s="10"/>
      <c r="E573" s="10"/>
      <c r="F573" s="10"/>
      <c r="G573" s="6"/>
      <c r="H573" s="6"/>
      <c r="I573" s="6"/>
      <c r="J573" s="6"/>
      <c r="K573" s="10"/>
      <c r="L573" s="10"/>
      <c r="M573" s="1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10"/>
      <c r="D574" s="10"/>
      <c r="E574" s="10"/>
      <c r="F574" s="10"/>
      <c r="G574" s="6"/>
      <c r="H574" s="6"/>
      <c r="I574" s="6"/>
      <c r="J574" s="6"/>
      <c r="K574" s="10"/>
      <c r="L574" s="10"/>
      <c r="M574" s="1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10"/>
      <c r="D575" s="10"/>
      <c r="E575" s="10"/>
      <c r="F575" s="10"/>
      <c r="G575" s="6"/>
      <c r="H575" s="6"/>
      <c r="I575" s="6"/>
      <c r="J575" s="6"/>
      <c r="K575" s="10"/>
      <c r="L575" s="10"/>
      <c r="M575" s="1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10"/>
      <c r="D576" s="10"/>
      <c r="E576" s="10"/>
      <c r="F576" s="10"/>
      <c r="G576" s="6"/>
      <c r="H576" s="6"/>
      <c r="I576" s="6"/>
      <c r="J576" s="6"/>
      <c r="K576" s="10"/>
      <c r="L576" s="10"/>
      <c r="M576" s="1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10"/>
      <c r="D577" s="10"/>
      <c r="E577" s="10"/>
      <c r="F577" s="10"/>
      <c r="G577" s="6"/>
      <c r="H577" s="6"/>
      <c r="I577" s="6"/>
      <c r="J577" s="6"/>
      <c r="K577" s="10"/>
      <c r="L577" s="10"/>
      <c r="M577" s="1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10"/>
      <c r="D578" s="10"/>
      <c r="E578" s="10"/>
      <c r="F578" s="10"/>
      <c r="G578" s="6"/>
      <c r="H578" s="6"/>
      <c r="I578" s="6"/>
      <c r="J578" s="6"/>
      <c r="K578" s="10"/>
      <c r="L578" s="10"/>
      <c r="M578" s="1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10"/>
      <c r="D579" s="10"/>
      <c r="E579" s="10"/>
      <c r="F579" s="10"/>
      <c r="G579" s="6"/>
      <c r="H579" s="6"/>
      <c r="I579" s="6"/>
      <c r="J579" s="6"/>
      <c r="K579" s="10"/>
      <c r="L579" s="10"/>
      <c r="M579" s="1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10"/>
      <c r="D580" s="10"/>
      <c r="E580" s="10"/>
      <c r="F580" s="10"/>
      <c r="G580" s="6"/>
      <c r="H580" s="6"/>
      <c r="I580" s="6"/>
      <c r="J580" s="6"/>
      <c r="K580" s="10"/>
      <c r="L580" s="10"/>
      <c r="M580" s="1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10"/>
      <c r="D581" s="10"/>
      <c r="E581" s="10"/>
      <c r="F581" s="10"/>
      <c r="G581" s="6"/>
      <c r="H581" s="6"/>
      <c r="I581" s="6"/>
      <c r="J581" s="6"/>
      <c r="K581" s="10"/>
      <c r="L581" s="10"/>
      <c r="M581" s="1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10"/>
      <c r="D582" s="10"/>
      <c r="E582" s="10"/>
      <c r="F582" s="10"/>
      <c r="G582" s="6"/>
      <c r="H582" s="6"/>
      <c r="I582" s="6"/>
      <c r="J582" s="6"/>
      <c r="K582" s="10"/>
      <c r="L582" s="10"/>
      <c r="M582" s="1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10"/>
      <c r="D583" s="10"/>
      <c r="E583" s="10"/>
      <c r="F583" s="10"/>
      <c r="G583" s="6"/>
      <c r="H583" s="6"/>
      <c r="I583" s="6"/>
      <c r="J583" s="6"/>
      <c r="K583" s="10"/>
      <c r="L583" s="10"/>
      <c r="M583" s="1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10"/>
      <c r="D584" s="10"/>
      <c r="E584" s="10"/>
      <c r="F584" s="10"/>
      <c r="G584" s="6"/>
      <c r="H584" s="6"/>
      <c r="I584" s="6"/>
      <c r="J584" s="6"/>
      <c r="K584" s="10"/>
      <c r="L584" s="10"/>
      <c r="M584" s="1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10"/>
      <c r="D585" s="10"/>
      <c r="E585" s="10"/>
      <c r="F585" s="10"/>
      <c r="G585" s="6"/>
      <c r="H585" s="6"/>
      <c r="I585" s="6"/>
      <c r="J585" s="6"/>
      <c r="K585" s="10"/>
      <c r="L585" s="10"/>
      <c r="M585" s="1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10"/>
      <c r="D586" s="10"/>
      <c r="E586" s="10"/>
      <c r="F586" s="10"/>
      <c r="G586" s="6"/>
      <c r="H586" s="6"/>
      <c r="I586" s="6"/>
      <c r="J586" s="6"/>
      <c r="K586" s="10"/>
      <c r="L586" s="10"/>
      <c r="M586" s="1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10"/>
      <c r="D587" s="10"/>
      <c r="E587" s="10"/>
      <c r="F587" s="10"/>
      <c r="G587" s="6"/>
      <c r="H587" s="6"/>
      <c r="I587" s="6"/>
      <c r="J587" s="6"/>
      <c r="K587" s="10"/>
      <c r="L587" s="10"/>
      <c r="M587" s="1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10"/>
      <c r="D588" s="10"/>
      <c r="E588" s="10"/>
      <c r="F588" s="10"/>
      <c r="G588" s="6"/>
      <c r="H588" s="6"/>
      <c r="I588" s="6"/>
      <c r="J588" s="6"/>
      <c r="K588" s="10"/>
      <c r="L588" s="10"/>
      <c r="M588" s="1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10"/>
      <c r="D589" s="10"/>
      <c r="E589" s="10"/>
      <c r="F589" s="10"/>
      <c r="G589" s="6"/>
      <c r="H589" s="6"/>
      <c r="I589" s="6"/>
      <c r="J589" s="6"/>
      <c r="K589" s="10"/>
      <c r="L589" s="10"/>
      <c r="M589" s="1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10"/>
      <c r="D590" s="10"/>
      <c r="E590" s="10"/>
      <c r="F590" s="10"/>
      <c r="G590" s="6"/>
      <c r="H590" s="6"/>
      <c r="I590" s="6"/>
      <c r="J590" s="6"/>
      <c r="K590" s="10"/>
      <c r="L590" s="10"/>
      <c r="M590" s="1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10"/>
      <c r="D591" s="10"/>
      <c r="E591" s="10"/>
      <c r="F591" s="10"/>
      <c r="G591" s="6"/>
      <c r="H591" s="6"/>
      <c r="I591" s="6"/>
      <c r="J591" s="6"/>
      <c r="K591" s="10"/>
      <c r="L591" s="10"/>
      <c r="M591" s="1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10"/>
      <c r="D592" s="10"/>
      <c r="E592" s="10"/>
      <c r="F592" s="10"/>
      <c r="G592" s="6"/>
      <c r="H592" s="6"/>
      <c r="I592" s="6"/>
      <c r="J592" s="6"/>
      <c r="K592" s="10"/>
      <c r="L592" s="10"/>
      <c r="M592" s="1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10"/>
      <c r="D593" s="10"/>
      <c r="E593" s="10"/>
      <c r="F593" s="10"/>
      <c r="G593" s="6"/>
      <c r="H593" s="6"/>
      <c r="I593" s="6"/>
      <c r="J593" s="6"/>
      <c r="K593" s="10"/>
      <c r="L593" s="10"/>
      <c r="M593" s="1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10"/>
      <c r="D594" s="10"/>
      <c r="E594" s="10"/>
      <c r="F594" s="10"/>
      <c r="G594" s="6"/>
      <c r="H594" s="6"/>
      <c r="I594" s="6"/>
      <c r="J594" s="6"/>
      <c r="K594" s="10"/>
      <c r="L594" s="10"/>
      <c r="M594" s="1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10"/>
      <c r="D595" s="10"/>
      <c r="E595" s="10"/>
      <c r="F595" s="10"/>
      <c r="G595" s="6"/>
      <c r="H595" s="6"/>
      <c r="I595" s="6"/>
      <c r="J595" s="6"/>
      <c r="K595" s="10"/>
      <c r="L595" s="10"/>
      <c r="M595" s="1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10"/>
      <c r="D596" s="10"/>
      <c r="E596" s="10"/>
      <c r="F596" s="10"/>
      <c r="G596" s="6"/>
      <c r="H596" s="6"/>
      <c r="I596" s="6"/>
      <c r="J596" s="6"/>
      <c r="K596" s="10"/>
      <c r="L596" s="10"/>
      <c r="M596" s="1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10"/>
      <c r="D597" s="10"/>
      <c r="E597" s="10"/>
      <c r="F597" s="10"/>
      <c r="G597" s="6"/>
      <c r="H597" s="6"/>
      <c r="I597" s="6"/>
      <c r="J597" s="6"/>
      <c r="K597" s="10"/>
      <c r="L597" s="10"/>
      <c r="M597" s="1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10"/>
      <c r="D598" s="10"/>
      <c r="E598" s="10"/>
      <c r="F598" s="10"/>
      <c r="G598" s="6"/>
      <c r="H598" s="6"/>
      <c r="I598" s="6"/>
      <c r="J598" s="6"/>
      <c r="K598" s="10"/>
      <c r="L598" s="10"/>
      <c r="M598" s="1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10"/>
      <c r="D599" s="10"/>
      <c r="E599" s="10"/>
      <c r="F599" s="10"/>
      <c r="G599" s="6"/>
      <c r="H599" s="6"/>
      <c r="I599" s="6"/>
      <c r="J599" s="6"/>
      <c r="K599" s="10"/>
      <c r="L599" s="10"/>
      <c r="M599" s="1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10"/>
      <c r="D600" s="10"/>
      <c r="E600" s="10"/>
      <c r="F600" s="10"/>
      <c r="G600" s="6"/>
      <c r="H600" s="6"/>
      <c r="I600" s="6"/>
      <c r="J600" s="6"/>
      <c r="K600" s="10"/>
      <c r="L600" s="10"/>
      <c r="M600" s="1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10"/>
      <c r="D601" s="10"/>
      <c r="E601" s="10"/>
      <c r="F601" s="10"/>
      <c r="G601" s="6"/>
      <c r="H601" s="6"/>
      <c r="I601" s="6"/>
      <c r="J601" s="6"/>
      <c r="K601" s="10"/>
      <c r="L601" s="10"/>
      <c r="M601" s="1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10"/>
      <c r="D602" s="10"/>
      <c r="E602" s="10"/>
      <c r="F602" s="10"/>
      <c r="G602" s="6"/>
      <c r="H602" s="6"/>
      <c r="I602" s="6"/>
      <c r="J602" s="6"/>
      <c r="K602" s="10"/>
      <c r="L602" s="10"/>
      <c r="M602" s="1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10"/>
      <c r="D603" s="10"/>
      <c r="E603" s="10"/>
      <c r="F603" s="10"/>
      <c r="G603" s="6"/>
      <c r="H603" s="6"/>
      <c r="I603" s="6"/>
      <c r="J603" s="6"/>
      <c r="K603" s="10"/>
      <c r="L603" s="10"/>
      <c r="M603" s="1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10"/>
      <c r="D604" s="10"/>
      <c r="E604" s="10"/>
      <c r="F604" s="10"/>
      <c r="G604" s="6"/>
      <c r="H604" s="6"/>
      <c r="I604" s="6"/>
      <c r="J604" s="6"/>
      <c r="K604" s="10"/>
      <c r="L604" s="10"/>
      <c r="M604" s="1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10"/>
      <c r="D605" s="10"/>
      <c r="E605" s="10"/>
      <c r="F605" s="10"/>
      <c r="G605" s="6"/>
      <c r="H605" s="6"/>
      <c r="I605" s="6"/>
      <c r="J605" s="6"/>
      <c r="K605" s="10"/>
      <c r="L605" s="10"/>
      <c r="M605" s="1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10"/>
      <c r="D606" s="10"/>
      <c r="E606" s="10"/>
      <c r="F606" s="10"/>
      <c r="G606" s="6"/>
      <c r="H606" s="6"/>
      <c r="I606" s="6"/>
      <c r="J606" s="6"/>
      <c r="K606" s="10"/>
      <c r="L606" s="10"/>
      <c r="M606" s="1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10"/>
      <c r="D607" s="10"/>
      <c r="E607" s="10"/>
      <c r="F607" s="10"/>
      <c r="G607" s="6"/>
      <c r="H607" s="6"/>
      <c r="I607" s="6"/>
      <c r="J607" s="6"/>
      <c r="K607" s="10"/>
      <c r="L607" s="10"/>
      <c r="M607" s="1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10"/>
      <c r="D608" s="10"/>
      <c r="E608" s="10"/>
      <c r="F608" s="10"/>
      <c r="G608" s="6"/>
      <c r="H608" s="6"/>
      <c r="I608" s="6"/>
      <c r="J608" s="6"/>
      <c r="K608" s="10"/>
      <c r="L608" s="10"/>
      <c r="M608" s="1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10"/>
      <c r="D609" s="10"/>
      <c r="E609" s="10"/>
      <c r="F609" s="10"/>
      <c r="G609" s="6"/>
      <c r="H609" s="6"/>
      <c r="I609" s="6"/>
      <c r="J609" s="6"/>
      <c r="K609" s="10"/>
      <c r="L609" s="10"/>
      <c r="M609" s="1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10"/>
      <c r="D610" s="10"/>
      <c r="E610" s="10"/>
      <c r="F610" s="10"/>
      <c r="G610" s="6"/>
      <c r="H610" s="6"/>
      <c r="I610" s="6"/>
      <c r="J610" s="6"/>
      <c r="K610" s="10"/>
      <c r="L610" s="10"/>
      <c r="M610" s="1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10"/>
      <c r="D611" s="10"/>
      <c r="E611" s="10"/>
      <c r="F611" s="10"/>
      <c r="G611" s="6"/>
      <c r="H611" s="6"/>
      <c r="I611" s="6"/>
      <c r="J611" s="6"/>
      <c r="K611" s="10"/>
      <c r="L611" s="10"/>
      <c r="M611" s="1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10"/>
      <c r="D612" s="10"/>
      <c r="E612" s="10"/>
      <c r="F612" s="10"/>
      <c r="G612" s="6"/>
      <c r="H612" s="6"/>
      <c r="I612" s="6"/>
      <c r="J612" s="6"/>
      <c r="K612" s="10"/>
      <c r="L612" s="10"/>
      <c r="M612" s="1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10"/>
      <c r="D613" s="10"/>
      <c r="E613" s="10"/>
      <c r="F613" s="10"/>
      <c r="G613" s="6"/>
      <c r="H613" s="6"/>
      <c r="I613" s="6"/>
      <c r="J613" s="6"/>
      <c r="K613" s="10"/>
      <c r="L613" s="10"/>
      <c r="M613" s="1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10"/>
      <c r="D614" s="10"/>
      <c r="E614" s="10"/>
      <c r="F614" s="10"/>
      <c r="G614" s="6"/>
      <c r="H614" s="6"/>
      <c r="I614" s="6"/>
      <c r="J614" s="6"/>
      <c r="K614" s="10"/>
      <c r="L614" s="10"/>
      <c r="M614" s="1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10"/>
      <c r="D615" s="10"/>
      <c r="E615" s="10"/>
      <c r="F615" s="10"/>
      <c r="G615" s="6"/>
      <c r="H615" s="6"/>
      <c r="I615" s="6"/>
      <c r="J615" s="6"/>
      <c r="K615" s="10"/>
      <c r="L615" s="10"/>
      <c r="M615" s="1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10"/>
      <c r="D616" s="10"/>
      <c r="E616" s="10"/>
      <c r="F616" s="10"/>
      <c r="G616" s="6"/>
      <c r="H616" s="6"/>
      <c r="I616" s="6"/>
      <c r="J616" s="6"/>
      <c r="K616" s="10"/>
      <c r="L616" s="10"/>
      <c r="M616" s="1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10"/>
      <c r="D617" s="10"/>
      <c r="E617" s="10"/>
      <c r="F617" s="10"/>
      <c r="G617" s="6"/>
      <c r="H617" s="6"/>
      <c r="I617" s="6"/>
      <c r="J617" s="6"/>
      <c r="K617" s="10"/>
      <c r="L617" s="10"/>
      <c r="M617" s="1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10"/>
      <c r="D618" s="10"/>
      <c r="E618" s="10"/>
      <c r="F618" s="10"/>
      <c r="G618" s="6"/>
      <c r="H618" s="6"/>
      <c r="I618" s="6"/>
      <c r="J618" s="6"/>
      <c r="K618" s="10"/>
      <c r="L618" s="10"/>
      <c r="M618" s="1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10"/>
      <c r="D619" s="10"/>
      <c r="E619" s="10"/>
      <c r="F619" s="10"/>
      <c r="G619" s="6"/>
      <c r="H619" s="6"/>
      <c r="I619" s="6"/>
      <c r="J619" s="6"/>
      <c r="K619" s="10"/>
      <c r="L619" s="10"/>
      <c r="M619" s="1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10"/>
      <c r="D620" s="10"/>
      <c r="E620" s="10"/>
      <c r="F620" s="10"/>
      <c r="G620" s="6"/>
      <c r="H620" s="6"/>
      <c r="I620" s="6"/>
      <c r="J620" s="6"/>
      <c r="K620" s="10"/>
      <c r="L620" s="10"/>
      <c r="M620" s="1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10"/>
      <c r="D621" s="10"/>
      <c r="E621" s="10"/>
      <c r="F621" s="10"/>
      <c r="G621" s="6"/>
      <c r="H621" s="6"/>
      <c r="I621" s="6"/>
      <c r="J621" s="6"/>
      <c r="K621" s="10"/>
      <c r="L621" s="10"/>
      <c r="M621" s="1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10"/>
      <c r="D622" s="10"/>
      <c r="E622" s="10"/>
      <c r="F622" s="10"/>
      <c r="G622" s="6"/>
      <c r="H622" s="6"/>
      <c r="I622" s="6"/>
      <c r="J622" s="6"/>
      <c r="K622" s="10"/>
      <c r="L622" s="10"/>
      <c r="M622" s="1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10"/>
      <c r="D623" s="10"/>
      <c r="E623" s="10"/>
      <c r="F623" s="10"/>
      <c r="G623" s="6"/>
      <c r="H623" s="6"/>
      <c r="I623" s="6"/>
      <c r="J623" s="6"/>
      <c r="K623" s="10"/>
      <c r="L623" s="10"/>
      <c r="M623" s="1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10"/>
      <c r="D624" s="10"/>
      <c r="E624" s="10"/>
      <c r="F624" s="10"/>
      <c r="G624" s="6"/>
      <c r="H624" s="6"/>
      <c r="I624" s="6"/>
      <c r="J624" s="6"/>
      <c r="K624" s="10"/>
      <c r="L624" s="10"/>
      <c r="M624" s="1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10"/>
      <c r="D625" s="10"/>
      <c r="E625" s="10"/>
      <c r="F625" s="10"/>
      <c r="G625" s="6"/>
      <c r="H625" s="6"/>
      <c r="I625" s="6"/>
      <c r="J625" s="6"/>
      <c r="K625" s="10"/>
      <c r="L625" s="10"/>
      <c r="M625" s="1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10"/>
      <c r="D626" s="10"/>
      <c r="E626" s="10"/>
      <c r="F626" s="10"/>
      <c r="G626" s="6"/>
      <c r="H626" s="6"/>
      <c r="I626" s="6"/>
      <c r="J626" s="6"/>
      <c r="K626" s="10"/>
      <c r="L626" s="10"/>
      <c r="M626" s="1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10"/>
      <c r="D627" s="10"/>
      <c r="E627" s="10"/>
      <c r="F627" s="10"/>
      <c r="G627" s="6"/>
      <c r="H627" s="6"/>
      <c r="I627" s="6"/>
      <c r="J627" s="6"/>
      <c r="K627" s="10"/>
      <c r="L627" s="10"/>
      <c r="M627" s="1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10"/>
      <c r="D628" s="10"/>
      <c r="E628" s="10"/>
      <c r="F628" s="10"/>
      <c r="G628" s="6"/>
      <c r="H628" s="6"/>
      <c r="I628" s="6"/>
      <c r="J628" s="6"/>
      <c r="K628" s="10"/>
      <c r="L628" s="10"/>
      <c r="M628" s="1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10"/>
      <c r="D629" s="10"/>
      <c r="E629" s="10"/>
      <c r="F629" s="10"/>
      <c r="G629" s="6"/>
      <c r="H629" s="6"/>
      <c r="I629" s="6"/>
      <c r="J629" s="6"/>
      <c r="K629" s="10"/>
      <c r="L629" s="10"/>
      <c r="M629" s="1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10"/>
      <c r="D630" s="10"/>
      <c r="E630" s="10"/>
      <c r="F630" s="10"/>
      <c r="G630" s="6"/>
      <c r="H630" s="6"/>
      <c r="I630" s="6"/>
      <c r="J630" s="6"/>
      <c r="K630" s="10"/>
      <c r="L630" s="10"/>
      <c r="M630" s="1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10"/>
      <c r="D631" s="10"/>
      <c r="E631" s="10"/>
      <c r="F631" s="10"/>
      <c r="G631" s="6"/>
      <c r="H631" s="6"/>
      <c r="I631" s="6"/>
      <c r="J631" s="6"/>
      <c r="K631" s="10"/>
      <c r="L631" s="10"/>
      <c r="M631" s="1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10"/>
      <c r="D632" s="10"/>
      <c r="E632" s="10"/>
      <c r="F632" s="10"/>
      <c r="G632" s="6"/>
      <c r="H632" s="6"/>
      <c r="I632" s="6"/>
      <c r="J632" s="6"/>
      <c r="K632" s="10"/>
      <c r="L632" s="10"/>
      <c r="M632" s="1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10"/>
      <c r="D633" s="10"/>
      <c r="E633" s="10"/>
      <c r="F633" s="10"/>
      <c r="G633" s="6"/>
      <c r="H633" s="6"/>
      <c r="I633" s="6"/>
      <c r="J633" s="6"/>
      <c r="K633" s="10"/>
      <c r="L633" s="10"/>
      <c r="M633" s="1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10"/>
      <c r="D634" s="10"/>
      <c r="E634" s="10"/>
      <c r="F634" s="10"/>
      <c r="G634" s="6"/>
      <c r="H634" s="6"/>
      <c r="I634" s="6"/>
      <c r="J634" s="6"/>
      <c r="K634" s="10"/>
      <c r="L634" s="10"/>
      <c r="M634" s="1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10"/>
      <c r="D635" s="10"/>
      <c r="E635" s="10"/>
      <c r="F635" s="10"/>
      <c r="G635" s="6"/>
      <c r="H635" s="6"/>
      <c r="I635" s="6"/>
      <c r="J635" s="6"/>
      <c r="K635" s="10"/>
      <c r="L635" s="10"/>
      <c r="M635" s="1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10"/>
      <c r="D636" s="10"/>
      <c r="E636" s="10"/>
      <c r="F636" s="10"/>
      <c r="G636" s="6"/>
      <c r="H636" s="6"/>
      <c r="I636" s="6"/>
      <c r="J636" s="6"/>
      <c r="K636" s="10"/>
      <c r="L636" s="10"/>
      <c r="M636" s="1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10"/>
      <c r="D637" s="10"/>
      <c r="E637" s="10"/>
      <c r="F637" s="10"/>
      <c r="G637" s="6"/>
      <c r="H637" s="6"/>
      <c r="I637" s="6"/>
      <c r="J637" s="6"/>
      <c r="K637" s="10"/>
      <c r="L637" s="10"/>
      <c r="M637" s="1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10"/>
      <c r="D638" s="10"/>
      <c r="E638" s="10"/>
      <c r="F638" s="10"/>
      <c r="G638" s="6"/>
      <c r="H638" s="6"/>
      <c r="I638" s="6"/>
      <c r="J638" s="6"/>
      <c r="K638" s="10"/>
      <c r="L638" s="10"/>
      <c r="M638" s="1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10"/>
      <c r="D639" s="10"/>
      <c r="E639" s="10"/>
      <c r="F639" s="10"/>
      <c r="G639" s="6"/>
      <c r="H639" s="6"/>
      <c r="I639" s="6"/>
      <c r="J639" s="6"/>
      <c r="K639" s="10"/>
      <c r="L639" s="10"/>
      <c r="M639" s="1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10"/>
      <c r="D640" s="10"/>
      <c r="E640" s="10"/>
      <c r="F640" s="10"/>
      <c r="G640" s="6"/>
      <c r="H640" s="6"/>
      <c r="I640" s="6"/>
      <c r="J640" s="6"/>
      <c r="K640" s="10"/>
      <c r="L640" s="10"/>
      <c r="M640" s="1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10"/>
      <c r="D641" s="10"/>
      <c r="E641" s="10"/>
      <c r="F641" s="10"/>
      <c r="G641" s="6"/>
      <c r="H641" s="6"/>
      <c r="I641" s="6"/>
      <c r="J641" s="6"/>
      <c r="K641" s="10"/>
      <c r="L641" s="10"/>
      <c r="M641" s="1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10"/>
      <c r="D642" s="10"/>
      <c r="E642" s="10"/>
      <c r="F642" s="10"/>
      <c r="G642" s="6"/>
      <c r="H642" s="6"/>
      <c r="I642" s="6"/>
      <c r="J642" s="6"/>
      <c r="K642" s="10"/>
      <c r="L642" s="10"/>
      <c r="M642" s="1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10"/>
      <c r="D643" s="10"/>
      <c r="E643" s="10"/>
      <c r="F643" s="10"/>
      <c r="G643" s="6"/>
      <c r="H643" s="6"/>
      <c r="I643" s="6"/>
      <c r="J643" s="6"/>
      <c r="K643" s="10"/>
      <c r="L643" s="10"/>
      <c r="M643" s="1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10"/>
      <c r="D644" s="10"/>
      <c r="E644" s="10"/>
      <c r="F644" s="10"/>
      <c r="G644" s="6"/>
      <c r="H644" s="6"/>
      <c r="I644" s="6"/>
      <c r="J644" s="6"/>
      <c r="K644" s="10"/>
      <c r="L644" s="10"/>
      <c r="M644" s="1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10"/>
      <c r="D645" s="10"/>
      <c r="E645" s="10"/>
      <c r="F645" s="10"/>
      <c r="G645" s="6"/>
      <c r="H645" s="6"/>
      <c r="I645" s="6"/>
      <c r="J645" s="6"/>
      <c r="K645" s="10"/>
      <c r="L645" s="10"/>
      <c r="M645" s="1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10"/>
      <c r="D646" s="10"/>
      <c r="E646" s="10"/>
      <c r="F646" s="10"/>
      <c r="G646" s="6"/>
      <c r="H646" s="6"/>
      <c r="I646" s="6"/>
      <c r="J646" s="6"/>
      <c r="K646" s="10"/>
      <c r="L646" s="10"/>
      <c r="M646" s="1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10"/>
      <c r="D647" s="10"/>
      <c r="E647" s="10"/>
      <c r="F647" s="10"/>
      <c r="G647" s="6"/>
      <c r="H647" s="6"/>
      <c r="I647" s="6"/>
      <c r="J647" s="6"/>
      <c r="K647" s="10"/>
      <c r="L647" s="10"/>
      <c r="M647" s="1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10"/>
      <c r="D648" s="10"/>
      <c r="E648" s="10"/>
      <c r="F648" s="10"/>
      <c r="G648" s="6"/>
      <c r="H648" s="6"/>
      <c r="I648" s="6"/>
      <c r="J648" s="6"/>
      <c r="K648" s="10"/>
      <c r="L648" s="10"/>
      <c r="M648" s="1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10"/>
      <c r="D649" s="10"/>
      <c r="E649" s="10"/>
      <c r="F649" s="10"/>
      <c r="G649" s="6"/>
      <c r="H649" s="6"/>
      <c r="I649" s="6"/>
      <c r="J649" s="6"/>
      <c r="K649" s="10"/>
      <c r="L649" s="10"/>
      <c r="M649" s="1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10"/>
      <c r="D650" s="10"/>
      <c r="E650" s="10"/>
      <c r="F650" s="10"/>
      <c r="G650" s="6"/>
      <c r="H650" s="6"/>
      <c r="I650" s="6"/>
      <c r="J650" s="6"/>
      <c r="K650" s="10"/>
      <c r="L650" s="10"/>
      <c r="M650" s="1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10"/>
      <c r="D651" s="10"/>
      <c r="E651" s="10"/>
      <c r="F651" s="10"/>
      <c r="G651" s="6"/>
      <c r="H651" s="6"/>
      <c r="I651" s="6"/>
      <c r="J651" s="6"/>
      <c r="K651" s="10"/>
      <c r="L651" s="10"/>
      <c r="M651" s="1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10"/>
      <c r="D652" s="10"/>
      <c r="E652" s="10"/>
      <c r="F652" s="10"/>
      <c r="G652" s="6"/>
      <c r="H652" s="6"/>
      <c r="I652" s="6"/>
      <c r="J652" s="6"/>
      <c r="K652" s="10"/>
      <c r="L652" s="10"/>
      <c r="M652" s="1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10"/>
      <c r="D653" s="10"/>
      <c r="E653" s="10"/>
      <c r="F653" s="10"/>
      <c r="G653" s="6"/>
      <c r="H653" s="6"/>
      <c r="I653" s="6"/>
      <c r="J653" s="6"/>
      <c r="K653" s="10"/>
      <c r="L653" s="10"/>
      <c r="M653" s="1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10"/>
      <c r="D654" s="10"/>
      <c r="E654" s="10"/>
      <c r="F654" s="10"/>
      <c r="G654" s="6"/>
      <c r="H654" s="6"/>
      <c r="I654" s="6"/>
      <c r="J654" s="6"/>
      <c r="K654" s="10"/>
      <c r="L654" s="10"/>
      <c r="M654" s="1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10"/>
      <c r="D655" s="10"/>
      <c r="E655" s="10"/>
      <c r="F655" s="10"/>
      <c r="G655" s="6"/>
      <c r="H655" s="6"/>
      <c r="I655" s="6"/>
      <c r="J655" s="6"/>
      <c r="K655" s="10"/>
      <c r="L655" s="10"/>
      <c r="M655" s="1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10"/>
      <c r="D656" s="10"/>
      <c r="E656" s="10"/>
      <c r="F656" s="10"/>
      <c r="G656" s="6"/>
      <c r="H656" s="6"/>
      <c r="I656" s="6"/>
      <c r="J656" s="6"/>
      <c r="K656" s="10"/>
      <c r="L656" s="10"/>
      <c r="M656" s="1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10"/>
      <c r="D657" s="10"/>
      <c r="E657" s="10"/>
      <c r="F657" s="10"/>
      <c r="G657" s="6"/>
      <c r="H657" s="6"/>
      <c r="I657" s="6"/>
      <c r="J657" s="6"/>
      <c r="K657" s="10"/>
      <c r="L657" s="10"/>
      <c r="M657" s="1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10"/>
      <c r="D658" s="10"/>
      <c r="E658" s="10"/>
      <c r="F658" s="10"/>
      <c r="G658" s="6"/>
      <c r="H658" s="6"/>
      <c r="I658" s="6"/>
      <c r="J658" s="6"/>
      <c r="K658" s="10"/>
      <c r="L658" s="10"/>
      <c r="M658" s="1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10"/>
      <c r="D659" s="10"/>
      <c r="E659" s="10"/>
      <c r="F659" s="10"/>
      <c r="G659" s="6"/>
      <c r="H659" s="6"/>
      <c r="I659" s="6"/>
      <c r="J659" s="6"/>
      <c r="K659" s="10"/>
      <c r="L659" s="10"/>
      <c r="M659" s="1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10"/>
      <c r="D660" s="10"/>
      <c r="E660" s="10"/>
      <c r="F660" s="10"/>
      <c r="G660" s="6"/>
      <c r="H660" s="6"/>
      <c r="I660" s="6"/>
      <c r="J660" s="6"/>
      <c r="K660" s="10"/>
      <c r="L660" s="10"/>
      <c r="M660" s="1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10"/>
      <c r="D661" s="10"/>
      <c r="E661" s="10"/>
      <c r="F661" s="10"/>
      <c r="G661" s="6"/>
      <c r="H661" s="6"/>
      <c r="I661" s="6"/>
      <c r="J661" s="6"/>
      <c r="K661" s="10"/>
      <c r="L661" s="10"/>
      <c r="M661" s="1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10"/>
      <c r="D662" s="10"/>
      <c r="E662" s="10"/>
      <c r="F662" s="10"/>
      <c r="G662" s="6"/>
      <c r="H662" s="6"/>
      <c r="I662" s="6"/>
      <c r="J662" s="6"/>
      <c r="K662" s="10"/>
      <c r="L662" s="10"/>
      <c r="M662" s="1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10"/>
      <c r="D663" s="10"/>
      <c r="E663" s="10"/>
      <c r="F663" s="10"/>
      <c r="G663" s="6"/>
      <c r="H663" s="6"/>
      <c r="I663" s="6"/>
      <c r="J663" s="6"/>
      <c r="K663" s="10"/>
      <c r="L663" s="10"/>
      <c r="M663" s="1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10"/>
      <c r="D664" s="10"/>
      <c r="E664" s="10"/>
      <c r="F664" s="10"/>
      <c r="G664" s="6"/>
      <c r="H664" s="6"/>
      <c r="I664" s="6"/>
      <c r="J664" s="6"/>
      <c r="K664" s="10"/>
      <c r="L664" s="10"/>
      <c r="M664" s="1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10"/>
      <c r="D665" s="10"/>
      <c r="E665" s="10"/>
      <c r="F665" s="10"/>
      <c r="G665" s="6"/>
      <c r="H665" s="6"/>
      <c r="I665" s="6"/>
      <c r="J665" s="6"/>
      <c r="K665" s="10"/>
      <c r="L665" s="10"/>
      <c r="M665" s="1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10"/>
      <c r="D666" s="10"/>
      <c r="E666" s="10"/>
      <c r="F666" s="10"/>
      <c r="G666" s="6"/>
      <c r="H666" s="6"/>
      <c r="I666" s="6"/>
      <c r="J666" s="6"/>
      <c r="K666" s="10"/>
      <c r="L666" s="10"/>
      <c r="M666" s="1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10"/>
      <c r="D667" s="10"/>
      <c r="E667" s="10"/>
      <c r="F667" s="10"/>
      <c r="G667" s="6"/>
      <c r="H667" s="6"/>
      <c r="I667" s="6"/>
      <c r="J667" s="6"/>
      <c r="K667" s="10"/>
      <c r="L667" s="10"/>
      <c r="M667" s="1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10"/>
      <c r="D668" s="10"/>
      <c r="E668" s="10"/>
      <c r="F668" s="10"/>
      <c r="G668" s="6"/>
      <c r="H668" s="6"/>
      <c r="I668" s="6"/>
      <c r="J668" s="6"/>
      <c r="K668" s="10"/>
      <c r="L668" s="10"/>
      <c r="M668" s="1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10"/>
      <c r="D669" s="10"/>
      <c r="E669" s="10"/>
      <c r="F669" s="10"/>
      <c r="G669" s="6"/>
      <c r="H669" s="6"/>
      <c r="I669" s="6"/>
      <c r="J669" s="6"/>
      <c r="K669" s="10"/>
      <c r="L669" s="10"/>
      <c r="M669" s="1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10"/>
      <c r="D670" s="10"/>
      <c r="E670" s="10"/>
      <c r="F670" s="10"/>
      <c r="G670" s="6"/>
      <c r="H670" s="6"/>
      <c r="I670" s="6"/>
      <c r="J670" s="6"/>
      <c r="K670" s="10"/>
      <c r="L670" s="10"/>
      <c r="M670" s="1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10"/>
      <c r="D671" s="10"/>
      <c r="E671" s="10"/>
      <c r="F671" s="10"/>
      <c r="G671" s="6"/>
      <c r="H671" s="6"/>
      <c r="I671" s="6"/>
      <c r="J671" s="6"/>
      <c r="K671" s="10"/>
      <c r="L671" s="10"/>
      <c r="M671" s="1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10"/>
      <c r="D672" s="10"/>
      <c r="E672" s="10"/>
      <c r="F672" s="10"/>
      <c r="G672" s="6"/>
      <c r="H672" s="6"/>
      <c r="I672" s="6"/>
      <c r="J672" s="6"/>
      <c r="K672" s="10"/>
      <c r="L672" s="10"/>
      <c r="M672" s="1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10"/>
      <c r="D673" s="10"/>
      <c r="E673" s="10"/>
      <c r="F673" s="10"/>
      <c r="G673" s="6"/>
      <c r="H673" s="6"/>
      <c r="I673" s="6"/>
      <c r="J673" s="6"/>
      <c r="K673" s="10"/>
      <c r="L673" s="10"/>
      <c r="M673" s="1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10"/>
      <c r="D674" s="10"/>
      <c r="E674" s="10"/>
      <c r="F674" s="10"/>
      <c r="G674" s="6"/>
      <c r="H674" s="6"/>
      <c r="I674" s="6"/>
      <c r="J674" s="6"/>
      <c r="K674" s="10"/>
      <c r="L674" s="10"/>
      <c r="M674" s="1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10"/>
      <c r="D675" s="10"/>
      <c r="E675" s="10"/>
      <c r="F675" s="10"/>
      <c r="G675" s="6"/>
      <c r="H675" s="6"/>
      <c r="I675" s="6"/>
      <c r="J675" s="6"/>
      <c r="K675" s="10"/>
      <c r="L675" s="10"/>
      <c r="M675" s="1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10"/>
      <c r="D676" s="10"/>
      <c r="E676" s="10"/>
      <c r="F676" s="10"/>
      <c r="G676" s="6"/>
      <c r="H676" s="6"/>
      <c r="I676" s="6"/>
      <c r="J676" s="6"/>
      <c r="K676" s="10"/>
      <c r="L676" s="10"/>
      <c r="M676" s="1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10"/>
      <c r="D677" s="10"/>
      <c r="E677" s="10"/>
      <c r="F677" s="10"/>
      <c r="G677" s="6"/>
      <c r="H677" s="6"/>
      <c r="I677" s="6"/>
      <c r="J677" s="6"/>
      <c r="K677" s="10"/>
      <c r="L677" s="10"/>
      <c r="M677" s="1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10"/>
      <c r="D678" s="10"/>
      <c r="E678" s="10"/>
      <c r="F678" s="10"/>
      <c r="G678" s="6"/>
      <c r="H678" s="6"/>
      <c r="I678" s="6"/>
      <c r="J678" s="6"/>
      <c r="K678" s="10"/>
      <c r="L678" s="10"/>
      <c r="M678" s="1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10"/>
      <c r="D679" s="10"/>
      <c r="E679" s="10"/>
      <c r="F679" s="10"/>
      <c r="G679" s="6"/>
      <c r="H679" s="6"/>
      <c r="I679" s="6"/>
      <c r="J679" s="6"/>
      <c r="K679" s="10"/>
      <c r="L679" s="10"/>
      <c r="M679" s="1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10"/>
      <c r="D680" s="10"/>
      <c r="E680" s="10"/>
      <c r="F680" s="10"/>
      <c r="G680" s="6"/>
      <c r="H680" s="6"/>
      <c r="I680" s="6"/>
      <c r="J680" s="6"/>
      <c r="K680" s="10"/>
      <c r="L680" s="10"/>
      <c r="M680" s="1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10"/>
      <c r="D681" s="10"/>
      <c r="E681" s="10"/>
      <c r="F681" s="10"/>
      <c r="G681" s="6"/>
      <c r="H681" s="6"/>
      <c r="I681" s="6"/>
      <c r="J681" s="6"/>
      <c r="K681" s="10"/>
      <c r="L681" s="10"/>
      <c r="M681" s="1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10"/>
      <c r="D682" s="10"/>
      <c r="E682" s="10"/>
      <c r="F682" s="10"/>
      <c r="G682" s="6"/>
      <c r="H682" s="6"/>
      <c r="I682" s="6"/>
      <c r="J682" s="6"/>
      <c r="K682" s="10"/>
      <c r="L682" s="10"/>
      <c r="M682" s="1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10"/>
      <c r="D683" s="10"/>
      <c r="E683" s="10"/>
      <c r="F683" s="10"/>
      <c r="G683" s="6"/>
      <c r="H683" s="6"/>
      <c r="I683" s="6"/>
      <c r="J683" s="6"/>
      <c r="K683" s="10"/>
      <c r="L683" s="10"/>
      <c r="M683" s="1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10"/>
      <c r="D684" s="10"/>
      <c r="E684" s="10"/>
      <c r="F684" s="10"/>
      <c r="G684" s="6"/>
      <c r="H684" s="6"/>
      <c r="I684" s="6"/>
      <c r="J684" s="6"/>
      <c r="K684" s="10"/>
      <c r="L684" s="10"/>
      <c r="M684" s="1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10"/>
      <c r="D685" s="10"/>
      <c r="E685" s="10"/>
      <c r="F685" s="10"/>
      <c r="G685" s="6"/>
      <c r="H685" s="6"/>
      <c r="I685" s="6"/>
      <c r="J685" s="6"/>
      <c r="K685" s="10"/>
      <c r="L685" s="10"/>
      <c r="M685" s="1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10"/>
      <c r="D686" s="10"/>
      <c r="E686" s="10"/>
      <c r="F686" s="10"/>
      <c r="G686" s="6"/>
      <c r="H686" s="6"/>
      <c r="I686" s="6"/>
      <c r="J686" s="6"/>
      <c r="K686" s="10"/>
      <c r="L686" s="10"/>
      <c r="M686" s="1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10"/>
      <c r="D687" s="10"/>
      <c r="E687" s="10"/>
      <c r="F687" s="10"/>
      <c r="G687" s="6"/>
      <c r="H687" s="6"/>
      <c r="I687" s="6"/>
      <c r="J687" s="6"/>
      <c r="K687" s="10"/>
      <c r="L687" s="10"/>
      <c r="M687" s="1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10"/>
      <c r="D688" s="10"/>
      <c r="E688" s="10"/>
      <c r="F688" s="10"/>
      <c r="G688" s="6"/>
      <c r="H688" s="6"/>
      <c r="I688" s="6"/>
      <c r="J688" s="6"/>
      <c r="K688" s="10"/>
      <c r="L688" s="10"/>
      <c r="M688" s="1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10"/>
      <c r="D689" s="10"/>
      <c r="E689" s="10"/>
      <c r="F689" s="10"/>
      <c r="G689" s="6"/>
      <c r="H689" s="6"/>
      <c r="I689" s="6"/>
      <c r="J689" s="6"/>
      <c r="K689" s="10"/>
      <c r="L689" s="10"/>
      <c r="M689" s="1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10"/>
      <c r="D690" s="10"/>
      <c r="E690" s="10"/>
      <c r="F690" s="10"/>
      <c r="G690" s="6"/>
      <c r="H690" s="6"/>
      <c r="I690" s="6"/>
      <c r="J690" s="6"/>
      <c r="K690" s="10"/>
      <c r="L690" s="10"/>
      <c r="M690" s="1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10"/>
      <c r="D691" s="10"/>
      <c r="E691" s="10"/>
      <c r="F691" s="10"/>
      <c r="G691" s="6"/>
      <c r="H691" s="6"/>
      <c r="I691" s="6"/>
      <c r="J691" s="6"/>
      <c r="K691" s="10"/>
      <c r="L691" s="10"/>
      <c r="M691" s="1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10"/>
      <c r="D692" s="10"/>
      <c r="E692" s="10"/>
      <c r="F692" s="10"/>
      <c r="G692" s="6"/>
      <c r="H692" s="6"/>
      <c r="I692" s="6"/>
      <c r="J692" s="6"/>
      <c r="K692" s="10"/>
      <c r="L692" s="10"/>
      <c r="M692" s="1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10"/>
      <c r="D693" s="10"/>
      <c r="E693" s="10"/>
      <c r="F693" s="10"/>
      <c r="G693" s="6"/>
      <c r="H693" s="6"/>
      <c r="I693" s="6"/>
      <c r="J693" s="6"/>
      <c r="K693" s="10"/>
      <c r="L693" s="10"/>
      <c r="M693" s="1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10"/>
      <c r="D694" s="10"/>
      <c r="E694" s="10"/>
      <c r="F694" s="10"/>
      <c r="G694" s="6"/>
      <c r="H694" s="6"/>
      <c r="I694" s="6"/>
      <c r="J694" s="6"/>
      <c r="K694" s="10"/>
      <c r="L694" s="10"/>
      <c r="M694" s="1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10"/>
      <c r="D695" s="10"/>
      <c r="E695" s="10"/>
      <c r="F695" s="10"/>
      <c r="G695" s="6"/>
      <c r="H695" s="6"/>
      <c r="I695" s="6"/>
      <c r="J695" s="6"/>
      <c r="K695" s="10"/>
      <c r="L695" s="10"/>
      <c r="M695" s="1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10"/>
      <c r="D696" s="10"/>
      <c r="E696" s="10"/>
      <c r="F696" s="10"/>
      <c r="G696" s="6"/>
      <c r="H696" s="6"/>
      <c r="I696" s="6"/>
      <c r="J696" s="6"/>
      <c r="K696" s="10"/>
      <c r="L696" s="10"/>
      <c r="M696" s="1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10"/>
      <c r="D697" s="10"/>
      <c r="E697" s="10"/>
      <c r="F697" s="10"/>
      <c r="G697" s="6"/>
      <c r="H697" s="6"/>
      <c r="I697" s="6"/>
      <c r="J697" s="6"/>
      <c r="K697" s="10"/>
      <c r="L697" s="10"/>
      <c r="M697" s="1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10"/>
      <c r="D698" s="10"/>
      <c r="E698" s="10"/>
      <c r="F698" s="10"/>
      <c r="G698" s="6"/>
      <c r="H698" s="6"/>
      <c r="I698" s="6"/>
      <c r="J698" s="6"/>
      <c r="K698" s="10"/>
      <c r="L698" s="10"/>
      <c r="M698" s="1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10"/>
      <c r="D699" s="10"/>
      <c r="E699" s="10"/>
      <c r="F699" s="10"/>
      <c r="G699" s="6"/>
      <c r="H699" s="6"/>
      <c r="I699" s="6"/>
      <c r="J699" s="6"/>
      <c r="K699" s="10"/>
      <c r="L699" s="10"/>
      <c r="M699" s="1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10"/>
      <c r="D700" s="10"/>
      <c r="E700" s="10"/>
      <c r="F700" s="10"/>
      <c r="G700" s="6"/>
      <c r="H700" s="6"/>
      <c r="I700" s="6"/>
      <c r="J700" s="6"/>
      <c r="K700" s="10"/>
      <c r="L700" s="10"/>
      <c r="M700" s="1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10"/>
      <c r="D701" s="10"/>
      <c r="E701" s="10"/>
      <c r="F701" s="10"/>
      <c r="G701" s="6"/>
      <c r="H701" s="6"/>
      <c r="I701" s="6"/>
      <c r="J701" s="6"/>
      <c r="K701" s="10"/>
      <c r="L701" s="10"/>
      <c r="M701" s="1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10"/>
      <c r="D702" s="10"/>
      <c r="E702" s="10"/>
      <c r="F702" s="10"/>
      <c r="G702" s="6"/>
      <c r="H702" s="6"/>
      <c r="I702" s="6"/>
      <c r="J702" s="6"/>
      <c r="K702" s="10"/>
      <c r="L702" s="10"/>
      <c r="M702" s="1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10"/>
      <c r="D703" s="10"/>
      <c r="E703" s="10"/>
      <c r="F703" s="10"/>
      <c r="G703" s="6"/>
      <c r="H703" s="6"/>
      <c r="I703" s="6"/>
      <c r="J703" s="6"/>
      <c r="K703" s="10"/>
      <c r="L703" s="10"/>
      <c r="M703" s="1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10"/>
      <c r="D704" s="10"/>
      <c r="E704" s="10"/>
      <c r="F704" s="10"/>
      <c r="G704" s="6"/>
      <c r="H704" s="6"/>
      <c r="I704" s="6"/>
      <c r="J704" s="6"/>
      <c r="K704" s="10"/>
      <c r="L704" s="10"/>
      <c r="M704" s="1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10"/>
      <c r="D705" s="10"/>
      <c r="E705" s="10"/>
      <c r="F705" s="10"/>
      <c r="G705" s="6"/>
      <c r="H705" s="6"/>
      <c r="I705" s="6"/>
      <c r="J705" s="6"/>
      <c r="K705" s="10"/>
      <c r="L705" s="10"/>
      <c r="M705" s="1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10"/>
      <c r="D706" s="10"/>
      <c r="E706" s="10"/>
      <c r="F706" s="10"/>
      <c r="G706" s="6"/>
      <c r="H706" s="6"/>
      <c r="I706" s="6"/>
      <c r="J706" s="6"/>
      <c r="K706" s="10"/>
      <c r="L706" s="10"/>
      <c r="M706" s="1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10"/>
      <c r="D707" s="10"/>
      <c r="E707" s="10"/>
      <c r="F707" s="10"/>
      <c r="G707" s="6"/>
      <c r="H707" s="6"/>
      <c r="I707" s="6"/>
      <c r="J707" s="6"/>
      <c r="K707" s="10"/>
      <c r="L707" s="10"/>
      <c r="M707" s="1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10"/>
      <c r="D708" s="10"/>
      <c r="E708" s="10"/>
      <c r="F708" s="10"/>
      <c r="G708" s="6"/>
      <c r="H708" s="6"/>
      <c r="I708" s="6"/>
      <c r="J708" s="6"/>
      <c r="K708" s="10"/>
      <c r="L708" s="10"/>
      <c r="M708" s="1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10"/>
      <c r="D709" s="10"/>
      <c r="E709" s="10"/>
      <c r="F709" s="10"/>
      <c r="G709" s="6"/>
      <c r="H709" s="6"/>
      <c r="I709" s="6"/>
      <c r="J709" s="6"/>
      <c r="K709" s="10"/>
      <c r="L709" s="10"/>
      <c r="M709" s="1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10"/>
      <c r="D710" s="10"/>
      <c r="E710" s="10"/>
      <c r="F710" s="10"/>
      <c r="G710" s="6"/>
      <c r="H710" s="6"/>
      <c r="I710" s="6"/>
      <c r="J710" s="6"/>
      <c r="K710" s="10"/>
      <c r="L710" s="10"/>
      <c r="M710" s="1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10"/>
      <c r="D711" s="10"/>
      <c r="E711" s="10"/>
      <c r="F711" s="10"/>
      <c r="G711" s="6"/>
      <c r="H711" s="6"/>
      <c r="I711" s="6"/>
      <c r="J711" s="6"/>
      <c r="K711" s="10"/>
      <c r="L711" s="10"/>
      <c r="M711" s="1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10"/>
      <c r="D712" s="10"/>
      <c r="E712" s="10"/>
      <c r="F712" s="10"/>
      <c r="G712" s="6"/>
      <c r="H712" s="6"/>
      <c r="I712" s="6"/>
      <c r="J712" s="6"/>
      <c r="K712" s="10"/>
      <c r="L712" s="10"/>
      <c r="M712" s="1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10"/>
      <c r="D713" s="10"/>
      <c r="E713" s="10"/>
      <c r="F713" s="10"/>
      <c r="G713" s="6"/>
      <c r="H713" s="6"/>
      <c r="I713" s="6"/>
      <c r="J713" s="6"/>
      <c r="K713" s="10"/>
      <c r="L713" s="10"/>
      <c r="M713" s="1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10"/>
      <c r="D714" s="10"/>
      <c r="E714" s="10"/>
      <c r="F714" s="10"/>
      <c r="G714" s="6"/>
      <c r="H714" s="6"/>
      <c r="I714" s="6"/>
      <c r="J714" s="6"/>
      <c r="K714" s="10"/>
      <c r="L714" s="10"/>
      <c r="M714" s="1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10"/>
      <c r="D715" s="10"/>
      <c r="E715" s="10"/>
      <c r="F715" s="10"/>
      <c r="G715" s="6"/>
      <c r="H715" s="6"/>
      <c r="I715" s="6"/>
      <c r="J715" s="6"/>
      <c r="K715" s="10"/>
      <c r="L715" s="10"/>
      <c r="M715" s="1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10"/>
      <c r="D716" s="10"/>
      <c r="E716" s="10"/>
      <c r="F716" s="10"/>
      <c r="G716" s="6"/>
      <c r="H716" s="6"/>
      <c r="I716" s="6"/>
      <c r="J716" s="6"/>
      <c r="K716" s="10"/>
      <c r="L716" s="10"/>
      <c r="M716" s="1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10"/>
      <c r="D717" s="10"/>
      <c r="E717" s="10"/>
      <c r="F717" s="10"/>
      <c r="G717" s="6"/>
      <c r="H717" s="6"/>
      <c r="I717" s="6"/>
      <c r="J717" s="6"/>
      <c r="K717" s="10"/>
      <c r="L717" s="10"/>
      <c r="M717" s="1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10"/>
      <c r="D718" s="10"/>
      <c r="E718" s="10"/>
      <c r="F718" s="10"/>
      <c r="G718" s="6"/>
      <c r="H718" s="6"/>
      <c r="I718" s="6"/>
      <c r="J718" s="6"/>
      <c r="K718" s="10"/>
      <c r="L718" s="10"/>
      <c r="M718" s="1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10"/>
      <c r="D719" s="10"/>
      <c r="E719" s="10"/>
      <c r="F719" s="10"/>
      <c r="G719" s="6"/>
      <c r="H719" s="6"/>
      <c r="I719" s="6"/>
      <c r="J719" s="6"/>
      <c r="K719" s="10"/>
      <c r="L719" s="10"/>
      <c r="M719" s="1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10"/>
      <c r="D720" s="10"/>
      <c r="E720" s="10"/>
      <c r="F720" s="10"/>
      <c r="G720" s="6"/>
      <c r="H720" s="6"/>
      <c r="I720" s="6"/>
      <c r="J720" s="6"/>
      <c r="K720" s="10"/>
      <c r="L720" s="10"/>
      <c r="M720" s="1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10"/>
      <c r="D721" s="10"/>
      <c r="E721" s="10"/>
      <c r="F721" s="10"/>
      <c r="G721" s="6"/>
      <c r="H721" s="6"/>
      <c r="I721" s="6"/>
      <c r="J721" s="6"/>
      <c r="K721" s="10"/>
      <c r="L721" s="10"/>
      <c r="M721" s="1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10"/>
      <c r="D722" s="10"/>
      <c r="E722" s="10"/>
      <c r="F722" s="10"/>
      <c r="G722" s="6"/>
      <c r="H722" s="6"/>
      <c r="I722" s="6"/>
      <c r="J722" s="6"/>
      <c r="K722" s="10"/>
      <c r="L722" s="10"/>
      <c r="M722" s="1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10"/>
      <c r="D723" s="10"/>
      <c r="E723" s="10"/>
      <c r="F723" s="10"/>
      <c r="G723" s="6"/>
      <c r="H723" s="6"/>
      <c r="I723" s="6"/>
      <c r="J723" s="6"/>
      <c r="K723" s="10"/>
      <c r="L723" s="10"/>
      <c r="M723" s="1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10"/>
      <c r="D724" s="10"/>
      <c r="E724" s="10"/>
      <c r="F724" s="10"/>
      <c r="G724" s="6"/>
      <c r="H724" s="6"/>
      <c r="I724" s="6"/>
      <c r="J724" s="6"/>
      <c r="K724" s="10"/>
      <c r="L724" s="10"/>
      <c r="M724" s="1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10"/>
      <c r="D725" s="10"/>
      <c r="E725" s="10"/>
      <c r="F725" s="10"/>
      <c r="G725" s="6"/>
      <c r="H725" s="6"/>
      <c r="I725" s="6"/>
      <c r="J725" s="6"/>
      <c r="K725" s="10"/>
      <c r="L725" s="10"/>
      <c r="M725" s="1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10"/>
      <c r="D726" s="10"/>
      <c r="E726" s="10"/>
      <c r="F726" s="10"/>
      <c r="G726" s="6"/>
      <c r="H726" s="6"/>
      <c r="I726" s="6"/>
      <c r="J726" s="6"/>
      <c r="K726" s="10"/>
      <c r="L726" s="10"/>
      <c r="M726" s="1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10"/>
      <c r="D727" s="10"/>
      <c r="E727" s="10"/>
      <c r="F727" s="10"/>
      <c r="G727" s="6"/>
      <c r="H727" s="6"/>
      <c r="I727" s="6"/>
      <c r="J727" s="6"/>
      <c r="K727" s="10"/>
      <c r="L727" s="10"/>
      <c r="M727" s="1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10"/>
      <c r="D728" s="10"/>
      <c r="E728" s="10"/>
      <c r="F728" s="10"/>
      <c r="G728" s="6"/>
      <c r="H728" s="6"/>
      <c r="I728" s="6"/>
      <c r="J728" s="6"/>
      <c r="K728" s="10"/>
      <c r="L728" s="10"/>
      <c r="M728" s="1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10"/>
      <c r="D729" s="10"/>
      <c r="E729" s="10"/>
      <c r="F729" s="10"/>
      <c r="G729" s="6"/>
      <c r="H729" s="6"/>
      <c r="I729" s="6"/>
      <c r="J729" s="6"/>
      <c r="K729" s="10"/>
      <c r="L729" s="10"/>
      <c r="M729" s="1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10"/>
      <c r="D730" s="10"/>
      <c r="E730" s="10"/>
      <c r="F730" s="10"/>
      <c r="G730" s="6"/>
      <c r="H730" s="6"/>
      <c r="I730" s="6"/>
      <c r="J730" s="6"/>
      <c r="K730" s="10"/>
      <c r="L730" s="10"/>
      <c r="M730" s="1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10"/>
      <c r="D731" s="10"/>
      <c r="E731" s="10"/>
      <c r="F731" s="10"/>
      <c r="G731" s="6"/>
      <c r="H731" s="6"/>
      <c r="I731" s="6"/>
      <c r="J731" s="6"/>
      <c r="K731" s="10"/>
      <c r="L731" s="10"/>
      <c r="M731" s="1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10"/>
      <c r="D732" s="10"/>
      <c r="E732" s="10"/>
      <c r="F732" s="10"/>
      <c r="G732" s="6"/>
      <c r="H732" s="6"/>
      <c r="I732" s="6"/>
      <c r="J732" s="6"/>
      <c r="K732" s="10"/>
      <c r="L732" s="10"/>
      <c r="M732" s="1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10"/>
      <c r="D733" s="10"/>
      <c r="E733" s="10"/>
      <c r="F733" s="10"/>
      <c r="G733" s="6"/>
      <c r="H733" s="6"/>
      <c r="I733" s="6"/>
      <c r="J733" s="6"/>
      <c r="K733" s="10"/>
      <c r="L733" s="10"/>
      <c r="M733" s="1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10"/>
      <c r="D734" s="10"/>
      <c r="E734" s="10"/>
      <c r="F734" s="10"/>
      <c r="G734" s="6"/>
      <c r="H734" s="6"/>
      <c r="I734" s="6"/>
      <c r="J734" s="6"/>
      <c r="K734" s="10"/>
      <c r="L734" s="10"/>
      <c r="M734" s="1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10"/>
      <c r="D735" s="10"/>
      <c r="E735" s="10"/>
      <c r="F735" s="10"/>
      <c r="G735" s="6"/>
      <c r="H735" s="6"/>
      <c r="I735" s="6"/>
      <c r="J735" s="6"/>
      <c r="K735" s="10"/>
      <c r="L735" s="10"/>
      <c r="M735" s="1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10"/>
      <c r="D736" s="10"/>
      <c r="E736" s="10"/>
      <c r="F736" s="10"/>
      <c r="G736" s="6"/>
      <c r="H736" s="6"/>
      <c r="I736" s="6"/>
      <c r="J736" s="6"/>
      <c r="K736" s="10"/>
      <c r="L736" s="10"/>
      <c r="M736" s="1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10"/>
      <c r="D737" s="10"/>
      <c r="E737" s="10"/>
      <c r="F737" s="10"/>
      <c r="G737" s="6"/>
      <c r="H737" s="6"/>
      <c r="I737" s="6"/>
      <c r="J737" s="6"/>
      <c r="K737" s="10"/>
      <c r="L737" s="10"/>
      <c r="M737" s="1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10"/>
      <c r="D738" s="10"/>
      <c r="E738" s="10"/>
      <c r="F738" s="10"/>
      <c r="G738" s="6"/>
      <c r="H738" s="6"/>
      <c r="I738" s="6"/>
      <c r="J738" s="6"/>
      <c r="K738" s="10"/>
      <c r="L738" s="10"/>
      <c r="M738" s="1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10"/>
      <c r="D739" s="10"/>
      <c r="E739" s="10"/>
      <c r="F739" s="10"/>
      <c r="G739" s="6"/>
      <c r="H739" s="6"/>
      <c r="I739" s="6"/>
      <c r="J739" s="6"/>
      <c r="K739" s="10"/>
      <c r="L739" s="10"/>
      <c r="M739" s="1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10"/>
      <c r="D740" s="10"/>
      <c r="E740" s="10"/>
      <c r="F740" s="10"/>
      <c r="G740" s="6"/>
      <c r="H740" s="6"/>
      <c r="I740" s="6"/>
      <c r="J740" s="6"/>
      <c r="K740" s="10"/>
      <c r="L740" s="10"/>
      <c r="M740" s="1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10"/>
      <c r="D741" s="10"/>
      <c r="E741" s="10"/>
      <c r="F741" s="10"/>
      <c r="G741" s="6"/>
      <c r="H741" s="6"/>
      <c r="I741" s="6"/>
      <c r="J741" s="6"/>
      <c r="K741" s="10"/>
      <c r="L741" s="10"/>
      <c r="M741" s="1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10"/>
      <c r="D742" s="10"/>
      <c r="E742" s="10"/>
      <c r="F742" s="10"/>
      <c r="G742" s="6"/>
      <c r="H742" s="6"/>
      <c r="I742" s="6"/>
      <c r="J742" s="6"/>
      <c r="K742" s="10"/>
      <c r="L742" s="10"/>
      <c r="M742" s="1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10"/>
      <c r="D743" s="10"/>
      <c r="E743" s="10"/>
      <c r="F743" s="10"/>
      <c r="G743" s="6"/>
      <c r="H743" s="6"/>
      <c r="I743" s="6"/>
      <c r="J743" s="6"/>
      <c r="K743" s="10"/>
      <c r="L743" s="10"/>
      <c r="M743" s="1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10"/>
      <c r="D744" s="10"/>
      <c r="E744" s="10"/>
      <c r="F744" s="10"/>
      <c r="G744" s="6"/>
      <c r="H744" s="6"/>
      <c r="I744" s="6"/>
      <c r="J744" s="6"/>
      <c r="K744" s="10"/>
      <c r="L744" s="10"/>
      <c r="M744" s="1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10"/>
      <c r="D745" s="10"/>
      <c r="E745" s="10"/>
      <c r="F745" s="10"/>
      <c r="G745" s="6"/>
      <c r="H745" s="6"/>
      <c r="I745" s="6"/>
      <c r="J745" s="6"/>
      <c r="K745" s="10"/>
      <c r="L745" s="10"/>
      <c r="M745" s="1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10"/>
      <c r="D746" s="10"/>
      <c r="E746" s="10"/>
      <c r="F746" s="10"/>
      <c r="G746" s="6"/>
      <c r="H746" s="6"/>
      <c r="I746" s="6"/>
      <c r="J746" s="6"/>
      <c r="K746" s="10"/>
      <c r="L746" s="10"/>
      <c r="M746" s="1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10"/>
      <c r="D747" s="10"/>
      <c r="E747" s="10"/>
      <c r="F747" s="10"/>
      <c r="G747" s="6"/>
      <c r="H747" s="6"/>
      <c r="I747" s="6"/>
      <c r="J747" s="6"/>
      <c r="K747" s="10"/>
      <c r="L747" s="10"/>
      <c r="M747" s="1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10"/>
      <c r="D748" s="10"/>
      <c r="E748" s="10"/>
      <c r="F748" s="10"/>
      <c r="G748" s="6"/>
      <c r="H748" s="6"/>
      <c r="I748" s="6"/>
      <c r="J748" s="6"/>
      <c r="K748" s="10"/>
      <c r="L748" s="10"/>
      <c r="M748" s="1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10"/>
      <c r="D749" s="10"/>
      <c r="E749" s="10"/>
      <c r="F749" s="10"/>
      <c r="G749" s="6"/>
      <c r="H749" s="6"/>
      <c r="I749" s="6"/>
      <c r="J749" s="6"/>
      <c r="K749" s="10"/>
      <c r="L749" s="10"/>
      <c r="M749" s="1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10"/>
      <c r="D750" s="10"/>
      <c r="E750" s="10"/>
      <c r="F750" s="10"/>
      <c r="G750" s="6"/>
      <c r="H750" s="6"/>
      <c r="I750" s="6"/>
      <c r="J750" s="6"/>
      <c r="K750" s="10"/>
      <c r="L750" s="10"/>
      <c r="M750" s="1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10"/>
      <c r="D751" s="10"/>
      <c r="E751" s="10"/>
      <c r="F751" s="10"/>
      <c r="G751" s="6"/>
      <c r="H751" s="6"/>
      <c r="I751" s="6"/>
      <c r="J751" s="6"/>
      <c r="K751" s="10"/>
      <c r="L751" s="10"/>
      <c r="M751" s="1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10"/>
      <c r="D752" s="10"/>
      <c r="E752" s="10"/>
      <c r="F752" s="10"/>
      <c r="G752" s="6"/>
      <c r="H752" s="6"/>
      <c r="I752" s="6"/>
      <c r="J752" s="6"/>
      <c r="K752" s="10"/>
      <c r="L752" s="10"/>
      <c r="M752" s="1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10"/>
      <c r="D753" s="10"/>
      <c r="E753" s="10"/>
      <c r="F753" s="10"/>
      <c r="G753" s="6"/>
      <c r="H753" s="6"/>
      <c r="I753" s="6"/>
      <c r="J753" s="6"/>
      <c r="K753" s="10"/>
      <c r="L753" s="10"/>
      <c r="M753" s="1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10"/>
      <c r="D754" s="10"/>
      <c r="E754" s="10"/>
      <c r="F754" s="10"/>
      <c r="G754" s="6"/>
      <c r="H754" s="6"/>
      <c r="I754" s="6"/>
      <c r="J754" s="6"/>
      <c r="K754" s="10"/>
      <c r="L754" s="10"/>
      <c r="M754" s="1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10"/>
      <c r="D755" s="10"/>
      <c r="E755" s="10"/>
      <c r="F755" s="10"/>
      <c r="G755" s="6"/>
      <c r="H755" s="6"/>
      <c r="I755" s="6"/>
      <c r="J755" s="6"/>
      <c r="K755" s="10"/>
      <c r="L755" s="10"/>
      <c r="M755" s="1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10"/>
      <c r="D756" s="10"/>
      <c r="E756" s="10"/>
      <c r="F756" s="10"/>
      <c r="G756" s="6"/>
      <c r="H756" s="6"/>
      <c r="I756" s="6"/>
      <c r="J756" s="6"/>
      <c r="K756" s="10"/>
      <c r="L756" s="10"/>
      <c r="M756" s="1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10"/>
      <c r="D757" s="10"/>
      <c r="E757" s="10"/>
      <c r="F757" s="10"/>
      <c r="G757" s="6"/>
      <c r="H757" s="6"/>
      <c r="I757" s="6"/>
      <c r="J757" s="6"/>
      <c r="K757" s="10"/>
      <c r="L757" s="10"/>
      <c r="M757" s="1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10"/>
      <c r="D758" s="10"/>
      <c r="E758" s="10"/>
      <c r="F758" s="10"/>
      <c r="G758" s="6"/>
      <c r="H758" s="6"/>
      <c r="I758" s="6"/>
      <c r="J758" s="6"/>
      <c r="K758" s="10"/>
      <c r="L758" s="10"/>
      <c r="M758" s="1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10"/>
      <c r="D759" s="10"/>
      <c r="E759" s="10"/>
      <c r="F759" s="10"/>
      <c r="G759" s="6"/>
      <c r="H759" s="6"/>
      <c r="I759" s="6"/>
      <c r="J759" s="6"/>
      <c r="K759" s="10"/>
      <c r="L759" s="10"/>
      <c r="M759" s="1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10"/>
      <c r="D760" s="10"/>
      <c r="E760" s="10"/>
      <c r="F760" s="10"/>
      <c r="G760" s="6"/>
      <c r="H760" s="6"/>
      <c r="I760" s="6"/>
      <c r="J760" s="6"/>
      <c r="K760" s="10"/>
      <c r="L760" s="10"/>
      <c r="M760" s="1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10"/>
      <c r="D761" s="10"/>
      <c r="E761" s="10"/>
      <c r="F761" s="10"/>
      <c r="G761" s="6"/>
      <c r="H761" s="6"/>
      <c r="I761" s="6"/>
      <c r="J761" s="6"/>
      <c r="K761" s="10"/>
      <c r="L761" s="10"/>
      <c r="M761" s="1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10"/>
      <c r="D762" s="10"/>
      <c r="E762" s="10"/>
      <c r="F762" s="10"/>
      <c r="G762" s="6"/>
      <c r="H762" s="6"/>
      <c r="I762" s="6"/>
      <c r="J762" s="6"/>
      <c r="K762" s="10"/>
      <c r="L762" s="10"/>
      <c r="M762" s="1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10"/>
      <c r="D763" s="10"/>
      <c r="E763" s="10"/>
      <c r="F763" s="10"/>
      <c r="G763" s="6"/>
      <c r="H763" s="6"/>
      <c r="I763" s="6"/>
      <c r="J763" s="6"/>
      <c r="K763" s="10"/>
      <c r="L763" s="10"/>
      <c r="M763" s="1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10"/>
      <c r="D764" s="10"/>
      <c r="E764" s="10"/>
      <c r="F764" s="10"/>
      <c r="G764" s="6"/>
      <c r="H764" s="6"/>
      <c r="I764" s="6"/>
      <c r="J764" s="6"/>
      <c r="K764" s="10"/>
      <c r="L764" s="10"/>
      <c r="M764" s="1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10"/>
      <c r="D765" s="10"/>
      <c r="E765" s="10"/>
      <c r="F765" s="10"/>
      <c r="G765" s="6"/>
      <c r="H765" s="6"/>
      <c r="I765" s="6"/>
      <c r="J765" s="6"/>
      <c r="K765" s="10"/>
      <c r="L765" s="10"/>
      <c r="M765" s="1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10"/>
      <c r="D766" s="10"/>
      <c r="E766" s="10"/>
      <c r="F766" s="10"/>
      <c r="G766" s="6"/>
      <c r="H766" s="6"/>
      <c r="I766" s="6"/>
      <c r="J766" s="6"/>
      <c r="K766" s="10"/>
      <c r="L766" s="10"/>
      <c r="M766" s="1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10"/>
      <c r="D767" s="10"/>
      <c r="E767" s="10"/>
      <c r="F767" s="10"/>
      <c r="G767" s="6"/>
      <c r="H767" s="6"/>
      <c r="I767" s="6"/>
      <c r="J767" s="6"/>
      <c r="K767" s="10"/>
      <c r="L767" s="10"/>
      <c r="M767" s="1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10"/>
      <c r="D768" s="10"/>
      <c r="E768" s="10"/>
      <c r="F768" s="10"/>
      <c r="G768" s="6"/>
      <c r="H768" s="6"/>
      <c r="I768" s="6"/>
      <c r="J768" s="6"/>
      <c r="K768" s="10"/>
      <c r="L768" s="10"/>
      <c r="M768" s="1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10"/>
      <c r="D769" s="10"/>
      <c r="E769" s="10"/>
      <c r="F769" s="10"/>
      <c r="G769" s="6"/>
      <c r="H769" s="6"/>
      <c r="I769" s="6"/>
      <c r="J769" s="6"/>
      <c r="K769" s="10"/>
      <c r="L769" s="10"/>
      <c r="M769" s="1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10"/>
      <c r="D770" s="10"/>
      <c r="E770" s="10"/>
      <c r="F770" s="10"/>
      <c r="G770" s="6"/>
      <c r="H770" s="6"/>
      <c r="I770" s="6"/>
      <c r="J770" s="6"/>
      <c r="K770" s="10"/>
      <c r="L770" s="10"/>
      <c r="M770" s="1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10"/>
      <c r="D771" s="10"/>
      <c r="E771" s="10"/>
      <c r="F771" s="10"/>
      <c r="G771" s="6"/>
      <c r="H771" s="6"/>
      <c r="I771" s="6"/>
      <c r="J771" s="6"/>
      <c r="K771" s="10"/>
      <c r="L771" s="10"/>
      <c r="M771" s="1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10"/>
      <c r="D772" s="10"/>
      <c r="E772" s="10"/>
      <c r="F772" s="10"/>
      <c r="G772" s="6"/>
      <c r="H772" s="6"/>
      <c r="I772" s="6"/>
      <c r="J772" s="6"/>
      <c r="K772" s="10"/>
      <c r="L772" s="10"/>
      <c r="M772" s="1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10"/>
      <c r="D773" s="10"/>
      <c r="E773" s="10"/>
      <c r="F773" s="10"/>
      <c r="G773" s="6"/>
      <c r="H773" s="6"/>
      <c r="I773" s="6"/>
      <c r="J773" s="6"/>
      <c r="K773" s="10"/>
      <c r="L773" s="10"/>
      <c r="M773" s="1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10"/>
      <c r="D774" s="10"/>
      <c r="E774" s="10"/>
      <c r="F774" s="10"/>
      <c r="G774" s="6"/>
      <c r="H774" s="6"/>
      <c r="I774" s="6"/>
      <c r="J774" s="6"/>
      <c r="K774" s="10"/>
      <c r="L774" s="10"/>
      <c r="M774" s="1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10"/>
      <c r="D775" s="10"/>
      <c r="E775" s="10"/>
      <c r="F775" s="10"/>
      <c r="G775" s="6"/>
      <c r="H775" s="6"/>
      <c r="I775" s="6"/>
      <c r="J775" s="6"/>
      <c r="K775" s="10"/>
      <c r="L775" s="10"/>
      <c r="M775" s="1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10"/>
      <c r="D776" s="10"/>
      <c r="E776" s="10"/>
      <c r="F776" s="10"/>
      <c r="G776" s="6"/>
      <c r="H776" s="6"/>
      <c r="I776" s="6"/>
      <c r="J776" s="6"/>
      <c r="K776" s="10"/>
      <c r="L776" s="10"/>
      <c r="M776" s="1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10"/>
      <c r="D777" s="10"/>
      <c r="E777" s="10"/>
      <c r="F777" s="10"/>
      <c r="G777" s="6"/>
      <c r="H777" s="6"/>
      <c r="I777" s="6"/>
      <c r="J777" s="6"/>
      <c r="K777" s="10"/>
      <c r="L777" s="10"/>
      <c r="M777" s="1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10"/>
      <c r="D778" s="10"/>
      <c r="E778" s="10"/>
      <c r="F778" s="10"/>
      <c r="G778" s="6"/>
      <c r="H778" s="6"/>
      <c r="I778" s="6"/>
      <c r="J778" s="6"/>
      <c r="K778" s="10"/>
      <c r="L778" s="10"/>
      <c r="M778" s="1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10"/>
      <c r="D779" s="10"/>
      <c r="E779" s="10"/>
      <c r="F779" s="10"/>
      <c r="G779" s="6"/>
      <c r="H779" s="6"/>
      <c r="I779" s="6"/>
      <c r="J779" s="6"/>
      <c r="K779" s="10"/>
      <c r="L779" s="10"/>
      <c r="M779" s="1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10"/>
      <c r="D780" s="10"/>
      <c r="E780" s="10"/>
      <c r="F780" s="10"/>
      <c r="G780" s="6"/>
      <c r="H780" s="6"/>
      <c r="I780" s="6"/>
      <c r="J780" s="6"/>
      <c r="K780" s="10"/>
      <c r="L780" s="10"/>
      <c r="M780" s="1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10"/>
      <c r="D781" s="10"/>
      <c r="E781" s="10"/>
      <c r="F781" s="10"/>
      <c r="G781" s="6"/>
      <c r="H781" s="6"/>
      <c r="I781" s="6"/>
      <c r="J781" s="6"/>
      <c r="K781" s="10"/>
      <c r="L781" s="10"/>
      <c r="M781" s="1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10"/>
      <c r="D782" s="10"/>
      <c r="E782" s="10"/>
      <c r="F782" s="10"/>
      <c r="G782" s="6"/>
      <c r="H782" s="6"/>
      <c r="I782" s="6"/>
      <c r="J782" s="6"/>
      <c r="K782" s="10"/>
      <c r="L782" s="10"/>
      <c r="M782" s="1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10"/>
      <c r="D783" s="10"/>
      <c r="E783" s="10"/>
      <c r="F783" s="10"/>
      <c r="G783" s="6"/>
      <c r="H783" s="6"/>
      <c r="I783" s="6"/>
      <c r="J783" s="6"/>
      <c r="K783" s="10"/>
      <c r="L783" s="10"/>
      <c r="M783" s="1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10"/>
      <c r="D784" s="10"/>
      <c r="E784" s="10"/>
      <c r="F784" s="10"/>
      <c r="G784" s="6"/>
      <c r="H784" s="6"/>
      <c r="I784" s="6"/>
      <c r="J784" s="6"/>
      <c r="K784" s="10"/>
      <c r="L784" s="10"/>
      <c r="M784" s="1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10"/>
      <c r="D785" s="10"/>
      <c r="E785" s="10"/>
      <c r="F785" s="10"/>
      <c r="G785" s="6"/>
      <c r="H785" s="6"/>
      <c r="I785" s="6"/>
      <c r="J785" s="6"/>
      <c r="K785" s="10"/>
      <c r="L785" s="10"/>
      <c r="M785" s="1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10"/>
      <c r="D786" s="10"/>
      <c r="E786" s="10"/>
      <c r="F786" s="10"/>
      <c r="G786" s="6"/>
      <c r="H786" s="6"/>
      <c r="I786" s="6"/>
      <c r="J786" s="6"/>
      <c r="K786" s="10"/>
      <c r="L786" s="10"/>
      <c r="M786" s="1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10"/>
      <c r="D787" s="10"/>
      <c r="E787" s="10"/>
      <c r="F787" s="10"/>
      <c r="G787" s="6"/>
      <c r="H787" s="6"/>
      <c r="I787" s="6"/>
      <c r="J787" s="6"/>
      <c r="K787" s="10"/>
      <c r="L787" s="10"/>
      <c r="M787" s="1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10"/>
      <c r="D788" s="10"/>
      <c r="E788" s="10"/>
      <c r="F788" s="10"/>
      <c r="G788" s="6"/>
      <c r="H788" s="6"/>
      <c r="I788" s="6"/>
      <c r="J788" s="6"/>
      <c r="K788" s="10"/>
      <c r="L788" s="10"/>
      <c r="M788" s="1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10"/>
      <c r="D789" s="10"/>
      <c r="E789" s="10"/>
      <c r="F789" s="10"/>
      <c r="G789" s="6"/>
      <c r="H789" s="6"/>
      <c r="I789" s="6"/>
      <c r="J789" s="6"/>
      <c r="K789" s="10"/>
      <c r="L789" s="10"/>
      <c r="M789" s="1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10"/>
      <c r="D790" s="10"/>
      <c r="E790" s="10"/>
      <c r="F790" s="10"/>
      <c r="G790" s="6"/>
      <c r="H790" s="6"/>
      <c r="I790" s="6"/>
      <c r="J790" s="6"/>
      <c r="K790" s="10"/>
      <c r="L790" s="10"/>
      <c r="M790" s="1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10"/>
      <c r="D791" s="10"/>
      <c r="E791" s="10"/>
      <c r="F791" s="10"/>
      <c r="G791" s="6"/>
      <c r="H791" s="6"/>
      <c r="I791" s="6"/>
      <c r="J791" s="6"/>
      <c r="K791" s="10"/>
      <c r="L791" s="10"/>
      <c r="M791" s="1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10"/>
      <c r="D792" s="10"/>
      <c r="E792" s="10"/>
      <c r="F792" s="10"/>
      <c r="G792" s="6"/>
      <c r="H792" s="6"/>
      <c r="I792" s="6"/>
      <c r="J792" s="6"/>
      <c r="K792" s="10"/>
      <c r="L792" s="10"/>
      <c r="M792" s="1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10"/>
      <c r="D793" s="10"/>
      <c r="E793" s="10"/>
      <c r="F793" s="10"/>
      <c r="G793" s="6"/>
      <c r="H793" s="6"/>
      <c r="I793" s="6"/>
      <c r="J793" s="6"/>
      <c r="K793" s="10"/>
      <c r="L793" s="10"/>
      <c r="M793" s="1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10"/>
      <c r="D794" s="10"/>
      <c r="E794" s="10"/>
      <c r="F794" s="10"/>
      <c r="G794" s="6"/>
      <c r="H794" s="6"/>
      <c r="I794" s="6"/>
      <c r="J794" s="6"/>
      <c r="K794" s="10"/>
      <c r="L794" s="10"/>
      <c r="M794" s="1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10"/>
      <c r="D795" s="10"/>
      <c r="E795" s="10"/>
      <c r="F795" s="10"/>
      <c r="G795" s="6"/>
      <c r="H795" s="6"/>
      <c r="I795" s="6"/>
      <c r="J795" s="6"/>
      <c r="K795" s="10"/>
      <c r="L795" s="10"/>
      <c r="M795" s="1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10"/>
      <c r="D796" s="10"/>
      <c r="E796" s="10"/>
      <c r="F796" s="10"/>
      <c r="G796" s="6"/>
      <c r="H796" s="6"/>
      <c r="I796" s="6"/>
      <c r="J796" s="6"/>
      <c r="K796" s="10"/>
      <c r="L796" s="10"/>
      <c r="M796" s="1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10"/>
      <c r="D797" s="10"/>
      <c r="E797" s="10"/>
      <c r="F797" s="10"/>
      <c r="G797" s="6"/>
      <c r="H797" s="6"/>
      <c r="I797" s="6"/>
      <c r="J797" s="6"/>
      <c r="K797" s="10"/>
      <c r="L797" s="10"/>
      <c r="M797" s="1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10"/>
      <c r="D798" s="10"/>
      <c r="E798" s="10"/>
      <c r="F798" s="10"/>
      <c r="G798" s="6"/>
      <c r="H798" s="6"/>
      <c r="I798" s="6"/>
      <c r="J798" s="6"/>
      <c r="K798" s="10"/>
      <c r="L798" s="10"/>
      <c r="M798" s="1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10"/>
      <c r="D799" s="10"/>
      <c r="E799" s="10"/>
      <c r="F799" s="10"/>
      <c r="G799" s="6"/>
      <c r="H799" s="6"/>
      <c r="I799" s="6"/>
      <c r="J799" s="6"/>
      <c r="K799" s="10"/>
      <c r="L799" s="10"/>
      <c r="M799" s="1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10"/>
      <c r="D800" s="10"/>
      <c r="E800" s="10"/>
      <c r="F800" s="10"/>
      <c r="G800" s="6"/>
      <c r="H800" s="6"/>
      <c r="I800" s="6"/>
      <c r="J800" s="6"/>
      <c r="K800" s="10"/>
      <c r="L800" s="10"/>
      <c r="M800" s="1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10"/>
      <c r="D801" s="10"/>
      <c r="E801" s="10"/>
      <c r="F801" s="10"/>
      <c r="G801" s="6"/>
      <c r="H801" s="6"/>
      <c r="I801" s="6"/>
      <c r="J801" s="6"/>
      <c r="K801" s="10"/>
      <c r="L801" s="10"/>
      <c r="M801" s="1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10"/>
      <c r="D802" s="10"/>
      <c r="E802" s="10"/>
      <c r="F802" s="10"/>
      <c r="G802" s="6"/>
      <c r="H802" s="6"/>
      <c r="I802" s="6"/>
      <c r="J802" s="6"/>
      <c r="K802" s="10"/>
      <c r="L802" s="10"/>
      <c r="M802" s="1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10"/>
      <c r="D803" s="10"/>
      <c r="E803" s="10"/>
      <c r="F803" s="10"/>
      <c r="G803" s="6"/>
      <c r="H803" s="6"/>
      <c r="I803" s="6"/>
      <c r="J803" s="6"/>
      <c r="K803" s="10"/>
      <c r="L803" s="10"/>
      <c r="M803" s="1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10"/>
      <c r="D804" s="10"/>
      <c r="E804" s="10"/>
      <c r="F804" s="10"/>
      <c r="G804" s="6"/>
      <c r="H804" s="6"/>
      <c r="I804" s="6"/>
      <c r="J804" s="6"/>
      <c r="K804" s="10"/>
      <c r="L804" s="10"/>
      <c r="M804" s="1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10"/>
      <c r="D805" s="10"/>
      <c r="E805" s="10"/>
      <c r="F805" s="10"/>
      <c r="G805" s="6"/>
      <c r="H805" s="6"/>
      <c r="I805" s="6"/>
      <c r="J805" s="6"/>
      <c r="K805" s="10"/>
      <c r="L805" s="10"/>
      <c r="M805" s="1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10"/>
      <c r="D806" s="10"/>
      <c r="E806" s="10"/>
      <c r="F806" s="10"/>
      <c r="G806" s="6"/>
      <c r="H806" s="6"/>
      <c r="I806" s="6"/>
      <c r="J806" s="6"/>
      <c r="K806" s="10"/>
      <c r="L806" s="10"/>
      <c r="M806" s="1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10"/>
      <c r="D807" s="10"/>
      <c r="E807" s="10"/>
      <c r="F807" s="10"/>
      <c r="G807" s="6"/>
      <c r="H807" s="6"/>
      <c r="I807" s="6"/>
      <c r="J807" s="6"/>
      <c r="K807" s="10"/>
      <c r="L807" s="10"/>
      <c r="M807" s="1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10"/>
      <c r="D808" s="10"/>
      <c r="E808" s="10"/>
      <c r="F808" s="10"/>
      <c r="G808" s="6"/>
      <c r="H808" s="6"/>
      <c r="I808" s="6"/>
      <c r="J808" s="6"/>
      <c r="K808" s="10"/>
      <c r="L808" s="10"/>
      <c r="M808" s="1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10"/>
      <c r="D809" s="10"/>
      <c r="E809" s="10"/>
      <c r="F809" s="10"/>
      <c r="G809" s="6"/>
      <c r="H809" s="6"/>
      <c r="I809" s="6"/>
      <c r="J809" s="6"/>
      <c r="K809" s="10"/>
      <c r="L809" s="10"/>
      <c r="M809" s="1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10"/>
      <c r="D810" s="10"/>
      <c r="E810" s="10"/>
      <c r="F810" s="10"/>
      <c r="G810" s="6"/>
      <c r="H810" s="6"/>
      <c r="I810" s="6"/>
      <c r="J810" s="6"/>
      <c r="K810" s="10"/>
      <c r="L810" s="10"/>
      <c r="M810" s="1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10"/>
      <c r="D811" s="10"/>
      <c r="E811" s="10"/>
      <c r="F811" s="10"/>
      <c r="G811" s="6"/>
      <c r="H811" s="6"/>
      <c r="I811" s="6"/>
      <c r="J811" s="6"/>
      <c r="K811" s="10"/>
      <c r="L811" s="10"/>
      <c r="M811" s="1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10"/>
      <c r="D812" s="10"/>
      <c r="E812" s="10"/>
      <c r="F812" s="10"/>
      <c r="G812" s="6"/>
      <c r="H812" s="6"/>
      <c r="I812" s="6"/>
      <c r="J812" s="6"/>
      <c r="K812" s="10"/>
      <c r="L812" s="10"/>
      <c r="M812" s="1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10"/>
      <c r="D813" s="10"/>
      <c r="E813" s="10"/>
      <c r="F813" s="10"/>
      <c r="G813" s="6"/>
      <c r="H813" s="6"/>
      <c r="I813" s="6"/>
      <c r="J813" s="6"/>
      <c r="K813" s="10"/>
      <c r="L813" s="10"/>
      <c r="M813" s="1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10"/>
      <c r="D814" s="10"/>
      <c r="E814" s="10"/>
      <c r="F814" s="10"/>
      <c r="G814" s="6"/>
      <c r="H814" s="6"/>
      <c r="I814" s="6"/>
      <c r="J814" s="6"/>
      <c r="K814" s="10"/>
      <c r="L814" s="10"/>
      <c r="M814" s="1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10"/>
      <c r="D815" s="10"/>
      <c r="E815" s="10"/>
      <c r="F815" s="10"/>
      <c r="G815" s="6"/>
      <c r="H815" s="6"/>
      <c r="I815" s="6"/>
      <c r="J815" s="6"/>
      <c r="K815" s="10"/>
      <c r="L815" s="10"/>
      <c r="M815" s="1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10"/>
      <c r="D816" s="10"/>
      <c r="E816" s="10"/>
      <c r="F816" s="10"/>
      <c r="G816" s="6"/>
      <c r="H816" s="6"/>
      <c r="I816" s="6"/>
      <c r="J816" s="6"/>
      <c r="K816" s="10"/>
      <c r="L816" s="10"/>
      <c r="M816" s="1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10"/>
      <c r="D817" s="10"/>
      <c r="E817" s="10"/>
      <c r="F817" s="10"/>
      <c r="G817" s="6"/>
      <c r="H817" s="6"/>
      <c r="I817" s="6"/>
      <c r="J817" s="6"/>
      <c r="K817" s="10"/>
      <c r="L817" s="10"/>
      <c r="M817" s="1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10"/>
      <c r="D818" s="10"/>
      <c r="E818" s="10"/>
      <c r="F818" s="10"/>
      <c r="G818" s="6"/>
      <c r="H818" s="6"/>
      <c r="I818" s="6"/>
      <c r="J818" s="6"/>
      <c r="K818" s="10"/>
      <c r="L818" s="10"/>
      <c r="M818" s="1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10"/>
      <c r="D819" s="10"/>
      <c r="E819" s="10"/>
      <c r="F819" s="10"/>
      <c r="G819" s="6"/>
      <c r="H819" s="6"/>
      <c r="I819" s="6"/>
      <c r="J819" s="6"/>
      <c r="K819" s="10"/>
      <c r="L819" s="10"/>
      <c r="M819" s="1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10"/>
      <c r="D820" s="10"/>
      <c r="E820" s="10"/>
      <c r="F820" s="10"/>
      <c r="G820" s="6"/>
      <c r="H820" s="6"/>
      <c r="I820" s="6"/>
      <c r="J820" s="6"/>
      <c r="K820" s="10"/>
      <c r="L820" s="10"/>
      <c r="M820" s="1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10"/>
      <c r="D821" s="10"/>
      <c r="E821" s="10"/>
      <c r="F821" s="10"/>
      <c r="G821" s="6"/>
      <c r="H821" s="6"/>
      <c r="I821" s="6"/>
      <c r="J821" s="6"/>
      <c r="K821" s="10"/>
      <c r="L821" s="10"/>
      <c r="M821" s="1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10"/>
      <c r="D822" s="10"/>
      <c r="E822" s="10"/>
      <c r="F822" s="10"/>
      <c r="G822" s="6"/>
      <c r="H822" s="6"/>
      <c r="I822" s="6"/>
      <c r="J822" s="6"/>
      <c r="K822" s="10"/>
      <c r="L822" s="10"/>
      <c r="M822" s="1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10"/>
      <c r="D823" s="10"/>
      <c r="E823" s="10"/>
      <c r="F823" s="10"/>
      <c r="G823" s="6"/>
      <c r="H823" s="6"/>
      <c r="I823" s="6"/>
      <c r="J823" s="6"/>
      <c r="K823" s="10"/>
      <c r="L823" s="10"/>
      <c r="M823" s="1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10"/>
      <c r="D824" s="10"/>
      <c r="E824" s="10"/>
      <c r="F824" s="10"/>
      <c r="G824" s="6"/>
      <c r="H824" s="6"/>
      <c r="I824" s="6"/>
      <c r="J824" s="6"/>
      <c r="K824" s="10"/>
      <c r="L824" s="10"/>
      <c r="M824" s="1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10"/>
      <c r="D825" s="10"/>
      <c r="E825" s="10"/>
      <c r="F825" s="10"/>
      <c r="G825" s="6"/>
      <c r="H825" s="6"/>
      <c r="I825" s="6"/>
      <c r="J825" s="6"/>
      <c r="K825" s="10"/>
      <c r="L825" s="10"/>
      <c r="M825" s="1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10"/>
      <c r="D826" s="10"/>
      <c r="E826" s="10"/>
      <c r="F826" s="10"/>
      <c r="G826" s="6"/>
      <c r="H826" s="6"/>
      <c r="I826" s="6"/>
      <c r="J826" s="6"/>
      <c r="K826" s="10"/>
      <c r="L826" s="10"/>
      <c r="M826" s="1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10"/>
      <c r="D827" s="10"/>
      <c r="E827" s="10"/>
      <c r="F827" s="10"/>
      <c r="G827" s="6"/>
      <c r="H827" s="6"/>
      <c r="I827" s="6"/>
      <c r="J827" s="6"/>
      <c r="K827" s="10"/>
      <c r="L827" s="10"/>
      <c r="M827" s="1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10"/>
      <c r="D828" s="10"/>
      <c r="E828" s="10"/>
      <c r="F828" s="10"/>
      <c r="G828" s="6"/>
      <c r="H828" s="6"/>
      <c r="I828" s="6"/>
      <c r="J828" s="6"/>
      <c r="K828" s="10"/>
      <c r="L828" s="10"/>
      <c r="M828" s="1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10"/>
      <c r="D829" s="10"/>
      <c r="E829" s="10"/>
      <c r="F829" s="10"/>
      <c r="G829" s="6"/>
      <c r="H829" s="6"/>
      <c r="I829" s="6"/>
      <c r="J829" s="6"/>
      <c r="K829" s="10"/>
      <c r="L829" s="10"/>
      <c r="M829" s="1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10"/>
      <c r="D830" s="10"/>
      <c r="E830" s="10"/>
      <c r="F830" s="10"/>
      <c r="G830" s="6"/>
      <c r="H830" s="6"/>
      <c r="I830" s="6"/>
      <c r="J830" s="6"/>
      <c r="K830" s="10"/>
      <c r="L830" s="10"/>
      <c r="M830" s="1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10"/>
      <c r="D831" s="10"/>
      <c r="E831" s="10"/>
      <c r="F831" s="10"/>
      <c r="G831" s="6"/>
      <c r="H831" s="6"/>
      <c r="I831" s="6"/>
      <c r="J831" s="6"/>
      <c r="K831" s="10"/>
      <c r="L831" s="10"/>
      <c r="M831" s="1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10"/>
      <c r="D832" s="10"/>
      <c r="E832" s="10"/>
      <c r="F832" s="10"/>
      <c r="G832" s="6"/>
      <c r="H832" s="6"/>
      <c r="I832" s="6"/>
      <c r="J832" s="6"/>
      <c r="K832" s="10"/>
      <c r="L832" s="10"/>
      <c r="M832" s="1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10"/>
      <c r="D833" s="10"/>
      <c r="E833" s="10"/>
      <c r="F833" s="10"/>
      <c r="G833" s="6"/>
      <c r="H833" s="6"/>
      <c r="I833" s="6"/>
      <c r="J833" s="6"/>
      <c r="K833" s="10"/>
      <c r="L833" s="10"/>
      <c r="M833" s="1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10"/>
      <c r="D834" s="10"/>
      <c r="E834" s="10"/>
      <c r="F834" s="10"/>
      <c r="G834" s="6"/>
      <c r="H834" s="6"/>
      <c r="I834" s="6"/>
      <c r="J834" s="6"/>
      <c r="K834" s="10"/>
      <c r="L834" s="10"/>
      <c r="M834" s="1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10"/>
      <c r="D835" s="10"/>
      <c r="E835" s="10"/>
      <c r="F835" s="10"/>
      <c r="G835" s="6"/>
      <c r="H835" s="6"/>
      <c r="I835" s="6"/>
      <c r="J835" s="6"/>
      <c r="K835" s="10"/>
      <c r="L835" s="10"/>
      <c r="M835" s="1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10"/>
      <c r="D836" s="10"/>
      <c r="E836" s="10"/>
      <c r="F836" s="10"/>
      <c r="G836" s="6"/>
      <c r="H836" s="6"/>
      <c r="I836" s="6"/>
      <c r="J836" s="6"/>
      <c r="K836" s="10"/>
      <c r="L836" s="10"/>
      <c r="M836" s="1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10"/>
      <c r="D837" s="10"/>
      <c r="E837" s="10"/>
      <c r="F837" s="10"/>
      <c r="G837" s="6"/>
      <c r="H837" s="6"/>
      <c r="I837" s="6"/>
      <c r="J837" s="6"/>
      <c r="K837" s="10"/>
      <c r="L837" s="10"/>
      <c r="M837" s="1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10"/>
      <c r="D838" s="10"/>
      <c r="E838" s="10"/>
      <c r="F838" s="10"/>
      <c r="G838" s="6"/>
      <c r="H838" s="6"/>
      <c r="I838" s="6"/>
      <c r="J838" s="6"/>
      <c r="K838" s="10"/>
      <c r="L838" s="10"/>
      <c r="M838" s="1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10"/>
      <c r="D839" s="10"/>
      <c r="E839" s="10"/>
      <c r="F839" s="10"/>
      <c r="G839" s="6"/>
      <c r="H839" s="6"/>
      <c r="I839" s="6"/>
      <c r="J839" s="6"/>
      <c r="K839" s="10"/>
      <c r="L839" s="10"/>
      <c r="M839" s="1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10"/>
      <c r="D840" s="10"/>
      <c r="E840" s="10"/>
      <c r="F840" s="10"/>
      <c r="G840" s="6"/>
      <c r="H840" s="6"/>
      <c r="I840" s="6"/>
      <c r="J840" s="6"/>
      <c r="K840" s="10"/>
      <c r="L840" s="10"/>
      <c r="M840" s="1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10"/>
      <c r="D841" s="10"/>
      <c r="E841" s="10"/>
      <c r="F841" s="10"/>
      <c r="G841" s="6"/>
      <c r="H841" s="6"/>
      <c r="I841" s="6"/>
      <c r="J841" s="6"/>
      <c r="K841" s="10"/>
      <c r="L841" s="10"/>
      <c r="M841" s="1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10"/>
      <c r="D842" s="10"/>
      <c r="E842" s="10"/>
      <c r="F842" s="10"/>
      <c r="G842" s="6"/>
      <c r="H842" s="6"/>
      <c r="I842" s="6"/>
      <c r="J842" s="6"/>
      <c r="K842" s="10"/>
      <c r="L842" s="10"/>
      <c r="M842" s="1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10"/>
      <c r="D843" s="10"/>
      <c r="E843" s="10"/>
      <c r="F843" s="10"/>
      <c r="G843" s="6"/>
      <c r="H843" s="6"/>
      <c r="I843" s="6"/>
      <c r="J843" s="6"/>
      <c r="K843" s="10"/>
      <c r="L843" s="10"/>
      <c r="M843" s="1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10"/>
      <c r="D844" s="10"/>
      <c r="E844" s="10"/>
      <c r="F844" s="10"/>
      <c r="G844" s="6"/>
      <c r="H844" s="6"/>
      <c r="I844" s="6"/>
      <c r="J844" s="6"/>
      <c r="K844" s="10"/>
      <c r="L844" s="10"/>
      <c r="M844" s="1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10"/>
      <c r="D845" s="10"/>
      <c r="E845" s="10"/>
      <c r="F845" s="10"/>
      <c r="G845" s="6"/>
      <c r="H845" s="6"/>
      <c r="I845" s="6"/>
      <c r="J845" s="6"/>
      <c r="K845" s="10"/>
      <c r="L845" s="10"/>
      <c r="M845" s="1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10"/>
      <c r="D846" s="10"/>
      <c r="E846" s="10"/>
      <c r="F846" s="10"/>
      <c r="G846" s="6"/>
      <c r="H846" s="6"/>
      <c r="I846" s="6"/>
      <c r="J846" s="6"/>
      <c r="K846" s="10"/>
      <c r="L846" s="10"/>
      <c r="M846" s="1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10"/>
      <c r="D847" s="10"/>
      <c r="E847" s="10"/>
      <c r="F847" s="10"/>
      <c r="G847" s="6"/>
      <c r="H847" s="6"/>
      <c r="I847" s="6"/>
      <c r="J847" s="6"/>
      <c r="K847" s="10"/>
      <c r="L847" s="10"/>
      <c r="M847" s="1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10"/>
      <c r="D848" s="10"/>
      <c r="E848" s="10"/>
      <c r="F848" s="10"/>
      <c r="G848" s="6"/>
      <c r="H848" s="6"/>
      <c r="I848" s="6"/>
      <c r="J848" s="6"/>
      <c r="K848" s="10"/>
      <c r="L848" s="10"/>
      <c r="M848" s="1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10"/>
      <c r="D849" s="10"/>
      <c r="E849" s="10"/>
      <c r="F849" s="10"/>
      <c r="G849" s="6"/>
      <c r="H849" s="6"/>
      <c r="I849" s="6"/>
      <c r="J849" s="6"/>
      <c r="K849" s="10"/>
      <c r="L849" s="10"/>
      <c r="M849" s="1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10"/>
      <c r="D850" s="10"/>
      <c r="E850" s="10"/>
      <c r="F850" s="10"/>
      <c r="G850" s="6"/>
      <c r="H850" s="6"/>
      <c r="I850" s="6"/>
      <c r="J850" s="6"/>
      <c r="K850" s="10"/>
      <c r="L850" s="10"/>
      <c r="M850" s="1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10"/>
      <c r="D851" s="10"/>
      <c r="E851" s="10"/>
      <c r="F851" s="10"/>
      <c r="G851" s="6"/>
      <c r="H851" s="6"/>
      <c r="I851" s="6"/>
      <c r="J851" s="6"/>
      <c r="K851" s="10"/>
      <c r="L851" s="10"/>
      <c r="M851" s="1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10"/>
      <c r="D852" s="10"/>
      <c r="E852" s="10"/>
      <c r="F852" s="10"/>
      <c r="G852" s="6"/>
      <c r="H852" s="6"/>
      <c r="I852" s="6"/>
      <c r="J852" s="6"/>
      <c r="K852" s="10"/>
      <c r="L852" s="10"/>
      <c r="M852" s="1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10"/>
      <c r="D853" s="10"/>
      <c r="E853" s="10"/>
      <c r="F853" s="10"/>
      <c r="G853" s="6"/>
      <c r="H853" s="6"/>
      <c r="I853" s="6"/>
      <c r="J853" s="6"/>
      <c r="K853" s="10"/>
      <c r="L853" s="10"/>
      <c r="M853" s="1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10"/>
      <c r="D854" s="10"/>
      <c r="E854" s="10"/>
      <c r="F854" s="10"/>
      <c r="G854" s="6"/>
      <c r="H854" s="6"/>
      <c r="I854" s="6"/>
      <c r="J854" s="6"/>
      <c r="K854" s="10"/>
      <c r="L854" s="10"/>
      <c r="M854" s="1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10"/>
      <c r="D855" s="10"/>
      <c r="E855" s="10"/>
      <c r="F855" s="10"/>
      <c r="G855" s="6"/>
      <c r="H855" s="6"/>
      <c r="I855" s="6"/>
      <c r="J855" s="6"/>
      <c r="K855" s="10"/>
      <c r="L855" s="10"/>
      <c r="M855" s="1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10"/>
      <c r="D856" s="10"/>
      <c r="E856" s="10"/>
      <c r="F856" s="10"/>
      <c r="G856" s="6"/>
      <c r="H856" s="6"/>
      <c r="I856" s="6"/>
      <c r="J856" s="6"/>
      <c r="K856" s="10"/>
      <c r="L856" s="10"/>
      <c r="M856" s="1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10"/>
      <c r="D857" s="10"/>
      <c r="E857" s="10"/>
      <c r="F857" s="10"/>
      <c r="G857" s="6"/>
      <c r="H857" s="6"/>
      <c r="I857" s="6"/>
      <c r="J857" s="6"/>
      <c r="K857" s="10"/>
      <c r="L857" s="10"/>
      <c r="M857" s="1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10"/>
      <c r="D858" s="10"/>
      <c r="E858" s="10"/>
      <c r="F858" s="10"/>
      <c r="G858" s="6"/>
      <c r="H858" s="6"/>
      <c r="I858" s="6"/>
      <c r="J858" s="6"/>
      <c r="K858" s="10"/>
      <c r="L858" s="10"/>
      <c r="M858" s="1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10"/>
      <c r="D859" s="10"/>
      <c r="E859" s="10"/>
      <c r="F859" s="10"/>
      <c r="G859" s="6"/>
      <c r="H859" s="6"/>
      <c r="I859" s="6"/>
      <c r="J859" s="6"/>
      <c r="K859" s="10"/>
      <c r="L859" s="10"/>
      <c r="M859" s="1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10"/>
      <c r="D860" s="10"/>
      <c r="E860" s="10"/>
      <c r="F860" s="10"/>
      <c r="G860" s="6"/>
      <c r="H860" s="6"/>
      <c r="I860" s="6"/>
      <c r="J860" s="6"/>
      <c r="K860" s="10"/>
      <c r="L860" s="10"/>
      <c r="M860" s="1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10"/>
      <c r="D861" s="10"/>
      <c r="E861" s="10"/>
      <c r="F861" s="10"/>
      <c r="G861" s="6"/>
      <c r="H861" s="6"/>
      <c r="I861" s="6"/>
      <c r="J861" s="6"/>
      <c r="K861" s="10"/>
      <c r="L861" s="10"/>
      <c r="M861" s="1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10"/>
      <c r="D862" s="10"/>
      <c r="E862" s="10"/>
      <c r="F862" s="10"/>
      <c r="G862" s="6"/>
      <c r="H862" s="6"/>
      <c r="I862" s="6"/>
      <c r="J862" s="6"/>
      <c r="K862" s="10"/>
      <c r="L862" s="10"/>
      <c r="M862" s="1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10"/>
      <c r="D863" s="10"/>
      <c r="E863" s="10"/>
      <c r="F863" s="10"/>
      <c r="G863" s="6"/>
      <c r="H863" s="6"/>
      <c r="I863" s="6"/>
      <c r="J863" s="6"/>
      <c r="K863" s="10"/>
      <c r="L863" s="10"/>
      <c r="M863" s="1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10"/>
      <c r="D864" s="10"/>
      <c r="E864" s="10"/>
      <c r="F864" s="10"/>
      <c r="G864" s="6"/>
      <c r="H864" s="6"/>
      <c r="I864" s="6"/>
      <c r="J864" s="6"/>
      <c r="K864" s="10"/>
      <c r="L864" s="10"/>
      <c r="M864" s="1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10"/>
      <c r="D865" s="10"/>
      <c r="E865" s="10"/>
      <c r="F865" s="10"/>
      <c r="G865" s="6"/>
      <c r="H865" s="6"/>
      <c r="I865" s="6"/>
      <c r="J865" s="6"/>
      <c r="K865" s="10"/>
      <c r="L865" s="10"/>
      <c r="M865" s="1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10"/>
      <c r="D866" s="10"/>
      <c r="E866" s="10"/>
      <c r="F866" s="10"/>
      <c r="G866" s="6"/>
      <c r="H866" s="6"/>
      <c r="I866" s="6"/>
      <c r="J866" s="6"/>
      <c r="K866" s="10"/>
      <c r="L866" s="10"/>
      <c r="M866" s="1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10"/>
      <c r="D867" s="10"/>
      <c r="E867" s="10"/>
      <c r="F867" s="10"/>
      <c r="G867" s="6"/>
      <c r="H867" s="6"/>
      <c r="I867" s="6"/>
      <c r="J867" s="6"/>
      <c r="K867" s="10"/>
      <c r="L867" s="10"/>
      <c r="M867" s="1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10"/>
      <c r="D868" s="10"/>
      <c r="E868" s="10"/>
      <c r="F868" s="10"/>
      <c r="G868" s="6"/>
      <c r="H868" s="6"/>
      <c r="I868" s="6"/>
      <c r="J868" s="6"/>
      <c r="K868" s="10"/>
      <c r="L868" s="10"/>
      <c r="M868" s="1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10"/>
      <c r="D869" s="10"/>
      <c r="E869" s="10"/>
      <c r="F869" s="10"/>
      <c r="G869" s="6"/>
      <c r="H869" s="6"/>
      <c r="I869" s="6"/>
      <c r="J869" s="6"/>
      <c r="K869" s="10"/>
      <c r="L869" s="10"/>
      <c r="M869" s="1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10"/>
      <c r="D870" s="10"/>
      <c r="E870" s="10"/>
      <c r="F870" s="10"/>
      <c r="G870" s="6"/>
      <c r="H870" s="6"/>
      <c r="I870" s="6"/>
      <c r="J870" s="6"/>
      <c r="K870" s="10"/>
      <c r="L870" s="10"/>
      <c r="M870" s="1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10"/>
      <c r="D871" s="10"/>
      <c r="E871" s="10"/>
      <c r="F871" s="10"/>
      <c r="G871" s="6"/>
      <c r="H871" s="6"/>
      <c r="I871" s="6"/>
      <c r="J871" s="6"/>
      <c r="K871" s="10"/>
      <c r="L871" s="10"/>
      <c r="M871" s="1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10"/>
      <c r="D872" s="10"/>
      <c r="E872" s="10"/>
      <c r="F872" s="10"/>
      <c r="G872" s="6"/>
      <c r="H872" s="6"/>
      <c r="I872" s="6"/>
      <c r="J872" s="6"/>
      <c r="K872" s="10"/>
      <c r="L872" s="10"/>
      <c r="M872" s="1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10"/>
      <c r="D873" s="10"/>
      <c r="E873" s="10"/>
      <c r="F873" s="10"/>
      <c r="G873" s="6"/>
      <c r="H873" s="6"/>
      <c r="I873" s="6"/>
      <c r="J873" s="6"/>
      <c r="K873" s="10"/>
      <c r="L873" s="10"/>
      <c r="M873" s="1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10"/>
      <c r="D874" s="10"/>
      <c r="E874" s="10"/>
      <c r="F874" s="10"/>
      <c r="G874" s="6"/>
      <c r="H874" s="6"/>
      <c r="I874" s="6"/>
      <c r="J874" s="6"/>
      <c r="K874" s="10"/>
      <c r="L874" s="10"/>
      <c r="M874" s="1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10"/>
      <c r="D875" s="10"/>
      <c r="E875" s="10"/>
      <c r="F875" s="10"/>
      <c r="G875" s="6"/>
      <c r="H875" s="6"/>
      <c r="I875" s="6"/>
      <c r="J875" s="6"/>
      <c r="K875" s="10"/>
      <c r="L875" s="10"/>
      <c r="M875" s="1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10"/>
      <c r="D876" s="10"/>
      <c r="E876" s="10"/>
      <c r="F876" s="10"/>
      <c r="G876" s="6"/>
      <c r="H876" s="6"/>
      <c r="I876" s="6"/>
      <c r="J876" s="6"/>
      <c r="K876" s="10"/>
      <c r="L876" s="10"/>
      <c r="M876" s="1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10"/>
      <c r="D877" s="10"/>
      <c r="E877" s="10"/>
      <c r="F877" s="10"/>
      <c r="G877" s="6"/>
      <c r="H877" s="6"/>
      <c r="I877" s="6"/>
      <c r="J877" s="6"/>
      <c r="K877" s="10"/>
      <c r="L877" s="10"/>
      <c r="M877" s="1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10"/>
      <c r="D878" s="10"/>
      <c r="E878" s="10"/>
      <c r="F878" s="10"/>
      <c r="G878" s="6"/>
      <c r="H878" s="6"/>
      <c r="I878" s="6"/>
      <c r="J878" s="6"/>
      <c r="K878" s="10"/>
      <c r="L878" s="10"/>
      <c r="M878" s="1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10"/>
      <c r="D879" s="10"/>
      <c r="E879" s="10"/>
      <c r="F879" s="10"/>
      <c r="G879" s="6"/>
      <c r="H879" s="6"/>
      <c r="I879" s="6"/>
      <c r="J879" s="6"/>
      <c r="K879" s="10"/>
      <c r="L879" s="10"/>
      <c r="M879" s="1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10"/>
      <c r="D880" s="10"/>
      <c r="E880" s="10"/>
      <c r="F880" s="10"/>
      <c r="G880" s="6"/>
      <c r="H880" s="6"/>
      <c r="I880" s="6"/>
      <c r="J880" s="6"/>
      <c r="K880" s="10"/>
      <c r="L880" s="10"/>
      <c r="M880" s="1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10"/>
      <c r="D881" s="10"/>
      <c r="E881" s="10"/>
      <c r="F881" s="10"/>
      <c r="G881" s="6"/>
      <c r="H881" s="6"/>
      <c r="I881" s="6"/>
      <c r="J881" s="6"/>
      <c r="K881" s="10"/>
      <c r="L881" s="10"/>
      <c r="M881" s="1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10"/>
      <c r="D882" s="10"/>
      <c r="E882" s="10"/>
      <c r="F882" s="10"/>
      <c r="G882" s="6"/>
      <c r="H882" s="6"/>
      <c r="I882" s="6"/>
      <c r="J882" s="6"/>
      <c r="K882" s="10"/>
      <c r="L882" s="10"/>
      <c r="M882" s="1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10"/>
      <c r="D883" s="10"/>
      <c r="E883" s="10"/>
      <c r="F883" s="10"/>
      <c r="G883" s="6"/>
      <c r="H883" s="6"/>
      <c r="I883" s="6"/>
      <c r="J883" s="6"/>
      <c r="K883" s="10"/>
      <c r="L883" s="10"/>
      <c r="M883" s="1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10"/>
      <c r="D884" s="10"/>
      <c r="E884" s="10"/>
      <c r="F884" s="10"/>
      <c r="G884" s="6"/>
      <c r="H884" s="6"/>
      <c r="I884" s="6"/>
      <c r="J884" s="6"/>
      <c r="K884" s="10"/>
      <c r="L884" s="10"/>
      <c r="M884" s="1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10"/>
      <c r="D885" s="10"/>
      <c r="E885" s="10"/>
      <c r="F885" s="10"/>
      <c r="G885" s="6"/>
      <c r="H885" s="6"/>
      <c r="I885" s="6"/>
      <c r="J885" s="6"/>
      <c r="K885" s="10"/>
      <c r="L885" s="10"/>
      <c r="M885" s="1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10"/>
      <c r="D886" s="10"/>
      <c r="E886" s="10"/>
      <c r="F886" s="10"/>
      <c r="G886" s="6"/>
      <c r="H886" s="6"/>
      <c r="I886" s="6"/>
      <c r="J886" s="6"/>
      <c r="K886" s="10"/>
      <c r="L886" s="10"/>
      <c r="M886" s="1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10"/>
      <c r="D887" s="10"/>
      <c r="E887" s="10"/>
      <c r="F887" s="10"/>
      <c r="G887" s="6"/>
      <c r="H887" s="6"/>
      <c r="I887" s="6"/>
      <c r="J887" s="6"/>
      <c r="K887" s="10"/>
      <c r="L887" s="10"/>
      <c r="M887" s="1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10"/>
      <c r="D888" s="10"/>
      <c r="E888" s="10"/>
      <c r="F888" s="10"/>
      <c r="G888" s="6"/>
      <c r="H888" s="6"/>
      <c r="I888" s="6"/>
      <c r="J888" s="6"/>
      <c r="K888" s="10"/>
      <c r="L888" s="10"/>
      <c r="M888" s="1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10"/>
      <c r="D889" s="10"/>
      <c r="E889" s="10"/>
      <c r="F889" s="10"/>
      <c r="G889" s="6"/>
      <c r="H889" s="6"/>
      <c r="I889" s="6"/>
      <c r="J889" s="6"/>
      <c r="K889" s="10"/>
      <c r="L889" s="10"/>
      <c r="M889" s="1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10"/>
      <c r="D890" s="10"/>
      <c r="E890" s="10"/>
      <c r="F890" s="10"/>
      <c r="G890" s="6"/>
      <c r="H890" s="6"/>
      <c r="I890" s="6"/>
      <c r="J890" s="6"/>
      <c r="K890" s="10"/>
      <c r="L890" s="10"/>
      <c r="M890" s="1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10"/>
      <c r="D891" s="10"/>
      <c r="E891" s="10"/>
      <c r="F891" s="10"/>
      <c r="G891" s="6"/>
      <c r="H891" s="6"/>
      <c r="I891" s="6"/>
      <c r="J891" s="6"/>
      <c r="K891" s="10"/>
      <c r="L891" s="10"/>
      <c r="M891" s="1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10"/>
      <c r="D892" s="10"/>
      <c r="E892" s="10"/>
      <c r="F892" s="10"/>
      <c r="G892" s="6"/>
      <c r="H892" s="6"/>
      <c r="I892" s="6"/>
      <c r="J892" s="6"/>
      <c r="K892" s="10"/>
      <c r="L892" s="10"/>
      <c r="M892" s="1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10"/>
      <c r="D893" s="10"/>
      <c r="E893" s="10"/>
      <c r="F893" s="10"/>
      <c r="G893" s="6"/>
      <c r="H893" s="6"/>
      <c r="I893" s="6"/>
      <c r="J893" s="6"/>
      <c r="K893" s="10"/>
      <c r="L893" s="10"/>
      <c r="M893" s="1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10"/>
      <c r="D894" s="10"/>
      <c r="E894" s="10"/>
      <c r="F894" s="10"/>
      <c r="G894" s="6"/>
      <c r="H894" s="6"/>
      <c r="I894" s="6"/>
      <c r="J894" s="6"/>
      <c r="K894" s="10"/>
      <c r="L894" s="10"/>
      <c r="M894" s="1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10"/>
      <c r="D895" s="10"/>
      <c r="E895" s="10"/>
      <c r="F895" s="10"/>
      <c r="G895" s="6"/>
      <c r="H895" s="6"/>
      <c r="I895" s="6"/>
      <c r="J895" s="6"/>
      <c r="K895" s="10"/>
      <c r="L895" s="10"/>
      <c r="M895" s="1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10"/>
      <c r="D896" s="10"/>
      <c r="E896" s="10"/>
      <c r="F896" s="10"/>
      <c r="G896" s="6"/>
      <c r="H896" s="6"/>
      <c r="I896" s="6"/>
      <c r="J896" s="6"/>
      <c r="K896" s="10"/>
      <c r="L896" s="10"/>
      <c r="M896" s="1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10"/>
      <c r="D897" s="10"/>
      <c r="E897" s="10"/>
      <c r="F897" s="10"/>
      <c r="G897" s="6"/>
      <c r="H897" s="6"/>
      <c r="I897" s="6"/>
      <c r="J897" s="6"/>
      <c r="K897" s="10"/>
      <c r="L897" s="10"/>
      <c r="M897" s="1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10"/>
      <c r="D898" s="10"/>
      <c r="E898" s="10"/>
      <c r="F898" s="10"/>
      <c r="G898" s="6"/>
      <c r="H898" s="6"/>
      <c r="I898" s="6"/>
      <c r="J898" s="6"/>
      <c r="K898" s="10"/>
      <c r="L898" s="10"/>
      <c r="M898" s="1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10"/>
      <c r="D899" s="10"/>
      <c r="E899" s="10"/>
      <c r="F899" s="10"/>
      <c r="G899" s="6"/>
      <c r="H899" s="6"/>
      <c r="I899" s="6"/>
      <c r="J899" s="6"/>
      <c r="K899" s="10"/>
      <c r="L899" s="10"/>
      <c r="M899" s="1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10"/>
      <c r="D900" s="10"/>
      <c r="E900" s="10"/>
      <c r="F900" s="10"/>
      <c r="G900" s="6"/>
      <c r="H900" s="6"/>
      <c r="I900" s="6"/>
      <c r="J900" s="6"/>
      <c r="K900" s="10"/>
      <c r="L900" s="10"/>
      <c r="M900" s="1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10"/>
      <c r="D901" s="10"/>
      <c r="E901" s="10"/>
      <c r="F901" s="10"/>
      <c r="G901" s="6"/>
      <c r="H901" s="6"/>
      <c r="I901" s="6"/>
      <c r="J901" s="6"/>
      <c r="K901" s="10"/>
      <c r="L901" s="10"/>
      <c r="M901" s="1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10"/>
      <c r="D902" s="10"/>
      <c r="E902" s="10"/>
      <c r="F902" s="10"/>
      <c r="G902" s="6"/>
      <c r="H902" s="6"/>
      <c r="I902" s="6"/>
      <c r="J902" s="6"/>
      <c r="K902" s="10"/>
      <c r="L902" s="10"/>
      <c r="M902" s="1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10"/>
      <c r="D903" s="10"/>
      <c r="E903" s="10"/>
      <c r="F903" s="10"/>
      <c r="G903" s="6"/>
      <c r="H903" s="6"/>
      <c r="I903" s="6"/>
      <c r="J903" s="6"/>
      <c r="K903" s="10"/>
      <c r="L903" s="10"/>
      <c r="M903" s="1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10"/>
      <c r="D904" s="10"/>
      <c r="E904" s="10"/>
      <c r="F904" s="10"/>
      <c r="G904" s="6"/>
      <c r="H904" s="6"/>
      <c r="I904" s="6"/>
      <c r="J904" s="6"/>
      <c r="K904" s="10"/>
      <c r="L904" s="10"/>
      <c r="M904" s="1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10"/>
      <c r="D905" s="10"/>
      <c r="E905" s="10"/>
      <c r="F905" s="10"/>
      <c r="G905" s="6"/>
      <c r="H905" s="6"/>
      <c r="I905" s="6"/>
      <c r="J905" s="6"/>
      <c r="K905" s="10"/>
      <c r="L905" s="10"/>
      <c r="M905" s="1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10"/>
      <c r="D906" s="10"/>
      <c r="E906" s="10"/>
      <c r="F906" s="10"/>
      <c r="G906" s="6"/>
      <c r="H906" s="6"/>
      <c r="I906" s="6"/>
      <c r="J906" s="6"/>
      <c r="K906" s="10"/>
      <c r="L906" s="10"/>
      <c r="M906" s="1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10"/>
      <c r="D907" s="10"/>
      <c r="E907" s="10"/>
      <c r="F907" s="10"/>
      <c r="G907" s="6"/>
      <c r="H907" s="6"/>
      <c r="I907" s="6"/>
      <c r="J907" s="6"/>
      <c r="K907" s="10"/>
      <c r="L907" s="10"/>
      <c r="M907" s="1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10"/>
      <c r="D908" s="10"/>
      <c r="E908" s="10"/>
      <c r="F908" s="10"/>
      <c r="G908" s="6"/>
      <c r="H908" s="6"/>
      <c r="I908" s="6"/>
      <c r="J908" s="6"/>
      <c r="K908" s="10"/>
      <c r="L908" s="10"/>
      <c r="M908" s="1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10"/>
      <c r="D909" s="10"/>
      <c r="E909" s="10"/>
      <c r="F909" s="10"/>
      <c r="G909" s="6"/>
      <c r="H909" s="6"/>
      <c r="I909" s="6"/>
      <c r="J909" s="6"/>
      <c r="K909" s="10"/>
      <c r="L909" s="10"/>
      <c r="M909" s="1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10"/>
      <c r="D910" s="10"/>
      <c r="E910" s="10"/>
      <c r="F910" s="10"/>
      <c r="G910" s="6"/>
      <c r="H910" s="6"/>
      <c r="I910" s="6"/>
      <c r="J910" s="6"/>
      <c r="K910" s="10"/>
      <c r="L910" s="10"/>
      <c r="M910" s="1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10"/>
      <c r="D911" s="10"/>
      <c r="E911" s="10"/>
      <c r="F911" s="10"/>
      <c r="G911" s="6"/>
      <c r="H911" s="6"/>
      <c r="I911" s="6"/>
      <c r="J911" s="6"/>
      <c r="K911" s="10"/>
      <c r="L911" s="10"/>
      <c r="M911" s="1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10"/>
      <c r="D912" s="10"/>
      <c r="E912" s="10"/>
      <c r="F912" s="10"/>
      <c r="G912" s="6"/>
      <c r="H912" s="6"/>
      <c r="I912" s="6"/>
      <c r="J912" s="6"/>
      <c r="K912" s="10"/>
      <c r="L912" s="10"/>
      <c r="M912" s="1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10"/>
      <c r="D913" s="10"/>
      <c r="E913" s="10"/>
      <c r="F913" s="10"/>
      <c r="G913" s="6"/>
      <c r="H913" s="6"/>
      <c r="I913" s="6"/>
      <c r="J913" s="6"/>
      <c r="K913" s="10"/>
      <c r="L913" s="10"/>
      <c r="M913" s="1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10"/>
      <c r="D914" s="10"/>
      <c r="E914" s="10"/>
      <c r="F914" s="10"/>
      <c r="G914" s="6"/>
      <c r="H914" s="6"/>
      <c r="I914" s="6"/>
      <c r="J914" s="6"/>
      <c r="K914" s="10"/>
      <c r="L914" s="10"/>
      <c r="M914" s="1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10"/>
      <c r="D915" s="10"/>
      <c r="E915" s="10"/>
      <c r="F915" s="10"/>
      <c r="G915" s="6"/>
      <c r="H915" s="6"/>
      <c r="I915" s="6"/>
      <c r="J915" s="6"/>
      <c r="K915" s="10"/>
      <c r="L915" s="10"/>
      <c r="M915" s="1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10"/>
      <c r="D916" s="10"/>
      <c r="E916" s="10"/>
      <c r="F916" s="10"/>
      <c r="G916" s="6"/>
      <c r="H916" s="6"/>
      <c r="I916" s="6"/>
      <c r="J916" s="6"/>
      <c r="K916" s="10"/>
      <c r="L916" s="10"/>
      <c r="M916" s="1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10"/>
      <c r="D917" s="10"/>
      <c r="E917" s="10"/>
      <c r="F917" s="10"/>
      <c r="G917" s="6"/>
      <c r="H917" s="6"/>
      <c r="I917" s="6"/>
      <c r="J917" s="6"/>
      <c r="K917" s="10"/>
      <c r="L917" s="10"/>
      <c r="M917" s="1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10"/>
      <c r="D918" s="10"/>
      <c r="E918" s="10"/>
      <c r="F918" s="10"/>
      <c r="G918" s="6"/>
      <c r="H918" s="6"/>
      <c r="I918" s="6"/>
      <c r="J918" s="6"/>
      <c r="K918" s="10"/>
      <c r="L918" s="10"/>
      <c r="M918" s="1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10"/>
      <c r="D919" s="10"/>
      <c r="E919" s="10"/>
      <c r="F919" s="10"/>
      <c r="G919" s="6"/>
      <c r="H919" s="6"/>
      <c r="I919" s="6"/>
      <c r="J919" s="6"/>
      <c r="K919" s="10"/>
      <c r="L919" s="10"/>
      <c r="M919" s="1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10"/>
      <c r="D920" s="10"/>
      <c r="E920" s="10"/>
      <c r="F920" s="10"/>
      <c r="G920" s="6"/>
      <c r="H920" s="6"/>
      <c r="I920" s="6"/>
      <c r="J920" s="6"/>
      <c r="K920" s="10"/>
      <c r="L920" s="10"/>
      <c r="M920" s="1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10"/>
      <c r="D921" s="10"/>
      <c r="E921" s="10"/>
      <c r="F921" s="10"/>
      <c r="G921" s="6"/>
      <c r="H921" s="6"/>
      <c r="I921" s="6"/>
      <c r="J921" s="6"/>
      <c r="K921" s="10"/>
      <c r="L921" s="10"/>
      <c r="M921" s="1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10"/>
      <c r="D922" s="10"/>
      <c r="E922" s="10"/>
      <c r="F922" s="10"/>
      <c r="G922" s="6"/>
      <c r="H922" s="6"/>
      <c r="I922" s="6"/>
      <c r="J922" s="6"/>
      <c r="K922" s="10"/>
      <c r="L922" s="10"/>
      <c r="M922" s="1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10"/>
      <c r="D923" s="10"/>
      <c r="E923" s="10"/>
      <c r="F923" s="10"/>
      <c r="G923" s="6"/>
      <c r="H923" s="6"/>
      <c r="I923" s="6"/>
      <c r="J923" s="6"/>
      <c r="K923" s="10"/>
      <c r="L923" s="10"/>
      <c r="M923" s="1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10"/>
      <c r="D924" s="10"/>
      <c r="E924" s="10"/>
      <c r="F924" s="10"/>
      <c r="G924" s="6"/>
      <c r="H924" s="6"/>
      <c r="I924" s="6"/>
      <c r="J924" s="6"/>
      <c r="K924" s="10"/>
      <c r="L924" s="10"/>
      <c r="M924" s="1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10"/>
      <c r="D925" s="10"/>
      <c r="E925" s="10"/>
      <c r="F925" s="10"/>
      <c r="G925" s="6"/>
      <c r="H925" s="6"/>
      <c r="I925" s="6"/>
      <c r="J925" s="6"/>
      <c r="K925" s="10"/>
      <c r="L925" s="10"/>
      <c r="M925" s="1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10"/>
      <c r="D926" s="10"/>
      <c r="E926" s="10"/>
      <c r="F926" s="10"/>
      <c r="G926" s="6"/>
      <c r="H926" s="6"/>
      <c r="I926" s="6"/>
      <c r="J926" s="6"/>
      <c r="K926" s="10"/>
      <c r="L926" s="10"/>
      <c r="M926" s="1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10"/>
      <c r="D927" s="10"/>
      <c r="E927" s="10"/>
      <c r="F927" s="10"/>
      <c r="G927" s="6"/>
      <c r="H927" s="6"/>
      <c r="I927" s="6"/>
      <c r="J927" s="6"/>
      <c r="K927" s="10"/>
      <c r="L927" s="10"/>
      <c r="M927" s="1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10"/>
      <c r="D928" s="10"/>
      <c r="E928" s="10"/>
      <c r="F928" s="10"/>
      <c r="G928" s="6"/>
      <c r="H928" s="6"/>
      <c r="I928" s="6"/>
      <c r="J928" s="6"/>
      <c r="K928" s="10"/>
      <c r="L928" s="10"/>
      <c r="M928" s="1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10"/>
      <c r="D929" s="10"/>
      <c r="E929" s="10"/>
      <c r="F929" s="10"/>
      <c r="G929" s="6"/>
      <c r="H929" s="6"/>
      <c r="I929" s="6"/>
      <c r="J929" s="6"/>
      <c r="K929" s="10"/>
      <c r="L929" s="10"/>
      <c r="M929" s="1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10"/>
      <c r="D930" s="10"/>
      <c r="E930" s="10"/>
      <c r="F930" s="10"/>
      <c r="G930" s="6"/>
      <c r="H930" s="6"/>
      <c r="I930" s="6"/>
      <c r="J930" s="6"/>
      <c r="K930" s="10"/>
      <c r="L930" s="10"/>
      <c r="M930" s="1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10"/>
      <c r="D931" s="10"/>
      <c r="E931" s="10"/>
      <c r="F931" s="10"/>
      <c r="G931" s="6"/>
      <c r="H931" s="6"/>
      <c r="I931" s="6"/>
      <c r="J931" s="6"/>
      <c r="K931" s="10"/>
      <c r="L931" s="10"/>
      <c r="M931" s="1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10"/>
      <c r="D932" s="10"/>
      <c r="E932" s="10"/>
      <c r="F932" s="10"/>
      <c r="G932" s="6"/>
      <c r="H932" s="6"/>
      <c r="I932" s="6"/>
      <c r="J932" s="6"/>
      <c r="K932" s="10"/>
      <c r="L932" s="10"/>
      <c r="M932" s="1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10"/>
      <c r="D933" s="10"/>
      <c r="E933" s="10"/>
      <c r="F933" s="10"/>
      <c r="G933" s="6"/>
      <c r="H933" s="6"/>
      <c r="I933" s="6"/>
      <c r="J933" s="6"/>
      <c r="K933" s="10"/>
      <c r="L933" s="10"/>
      <c r="M933" s="1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10"/>
      <c r="D934" s="10"/>
      <c r="E934" s="10"/>
      <c r="F934" s="10"/>
      <c r="G934" s="6"/>
      <c r="H934" s="6"/>
      <c r="I934" s="6"/>
      <c r="J934" s="6"/>
      <c r="K934" s="10"/>
      <c r="L934" s="10"/>
      <c r="M934" s="1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10"/>
      <c r="D935" s="10"/>
      <c r="E935" s="10"/>
      <c r="F935" s="10"/>
      <c r="G935" s="6"/>
      <c r="H935" s="6"/>
      <c r="I935" s="6"/>
      <c r="J935" s="6"/>
      <c r="K935" s="10"/>
      <c r="L935" s="10"/>
      <c r="M935" s="1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10"/>
      <c r="D936" s="10"/>
      <c r="E936" s="10"/>
      <c r="F936" s="10"/>
      <c r="G936" s="6"/>
      <c r="H936" s="6"/>
      <c r="I936" s="6"/>
      <c r="J936" s="6"/>
      <c r="K936" s="10"/>
      <c r="L936" s="10"/>
      <c r="M936" s="1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10"/>
      <c r="D937" s="10"/>
      <c r="E937" s="10"/>
      <c r="F937" s="10"/>
      <c r="G937" s="6"/>
      <c r="H937" s="6"/>
      <c r="I937" s="6"/>
      <c r="J937" s="6"/>
      <c r="K937" s="10"/>
      <c r="L937" s="10"/>
      <c r="M937" s="1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10"/>
      <c r="D938" s="10"/>
      <c r="E938" s="10"/>
      <c r="F938" s="10"/>
      <c r="G938" s="6"/>
      <c r="H938" s="6"/>
      <c r="I938" s="6"/>
      <c r="J938" s="6"/>
      <c r="K938" s="10"/>
      <c r="L938" s="10"/>
      <c r="M938" s="1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10"/>
      <c r="D939" s="10"/>
      <c r="E939" s="10"/>
      <c r="F939" s="10"/>
      <c r="G939" s="6"/>
      <c r="H939" s="6"/>
      <c r="I939" s="6"/>
      <c r="J939" s="6"/>
      <c r="K939" s="10"/>
      <c r="L939" s="10"/>
      <c r="M939" s="1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10"/>
      <c r="D940" s="10"/>
      <c r="E940" s="10"/>
      <c r="F940" s="10"/>
      <c r="G940" s="6"/>
      <c r="H940" s="6"/>
      <c r="I940" s="6"/>
      <c r="J940" s="6"/>
      <c r="K940" s="10"/>
      <c r="L940" s="10"/>
      <c r="M940" s="1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10"/>
      <c r="D941" s="10"/>
      <c r="E941" s="10"/>
      <c r="F941" s="10"/>
      <c r="G941" s="6"/>
      <c r="H941" s="6"/>
      <c r="I941" s="6"/>
      <c r="J941" s="6"/>
      <c r="K941" s="10"/>
      <c r="L941" s="10"/>
      <c r="M941" s="1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10"/>
      <c r="D942" s="10"/>
      <c r="E942" s="10"/>
      <c r="F942" s="10"/>
      <c r="G942" s="6"/>
      <c r="H942" s="6"/>
      <c r="I942" s="6"/>
      <c r="J942" s="6"/>
      <c r="K942" s="10"/>
      <c r="L942" s="10"/>
      <c r="M942" s="1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10"/>
      <c r="D943" s="10"/>
      <c r="E943" s="10"/>
      <c r="F943" s="10"/>
      <c r="G943" s="6"/>
      <c r="H943" s="6"/>
      <c r="I943" s="6"/>
      <c r="J943" s="6"/>
      <c r="K943" s="10"/>
      <c r="L943" s="10"/>
      <c r="M943" s="1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10"/>
      <c r="D944" s="10"/>
      <c r="E944" s="10"/>
      <c r="F944" s="10"/>
      <c r="G944" s="6"/>
      <c r="H944" s="6"/>
      <c r="I944" s="6"/>
      <c r="J944" s="6"/>
      <c r="K944" s="10"/>
      <c r="L944" s="10"/>
      <c r="M944" s="1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10"/>
      <c r="D945" s="10"/>
      <c r="E945" s="10"/>
      <c r="F945" s="10"/>
      <c r="G945" s="6"/>
      <c r="H945" s="6"/>
      <c r="I945" s="6"/>
      <c r="J945" s="6"/>
      <c r="K945" s="10"/>
      <c r="L945" s="10"/>
      <c r="M945" s="1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10"/>
      <c r="D946" s="10"/>
      <c r="E946" s="10"/>
      <c r="F946" s="10"/>
      <c r="G946" s="6"/>
      <c r="H946" s="6"/>
      <c r="I946" s="6"/>
      <c r="J946" s="6"/>
      <c r="K946" s="10"/>
      <c r="L946" s="10"/>
      <c r="M946" s="1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10"/>
      <c r="D947" s="10"/>
      <c r="E947" s="10"/>
      <c r="F947" s="10"/>
      <c r="G947" s="6"/>
      <c r="H947" s="6"/>
      <c r="I947" s="6"/>
      <c r="J947" s="6"/>
      <c r="K947" s="10"/>
      <c r="L947" s="10"/>
      <c r="M947" s="1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10"/>
      <c r="D948" s="10"/>
      <c r="E948" s="10"/>
      <c r="F948" s="10"/>
      <c r="G948" s="6"/>
      <c r="H948" s="6"/>
      <c r="I948" s="6"/>
      <c r="J948" s="6"/>
      <c r="K948" s="10"/>
      <c r="L948" s="10"/>
      <c r="M948" s="1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10"/>
      <c r="D949" s="10"/>
      <c r="E949" s="10"/>
      <c r="F949" s="10"/>
      <c r="G949" s="6"/>
      <c r="H949" s="6"/>
      <c r="I949" s="6"/>
      <c r="J949" s="6"/>
      <c r="K949" s="10"/>
      <c r="L949" s="10"/>
      <c r="M949" s="1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10"/>
      <c r="D950" s="10"/>
      <c r="E950" s="10"/>
      <c r="F950" s="10"/>
      <c r="G950" s="6"/>
      <c r="H950" s="6"/>
      <c r="I950" s="6"/>
      <c r="J950" s="6"/>
      <c r="K950" s="10"/>
      <c r="L950" s="10"/>
      <c r="M950" s="1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10"/>
      <c r="D951" s="10"/>
      <c r="E951" s="10"/>
      <c r="F951" s="10"/>
      <c r="G951" s="6"/>
      <c r="H951" s="6"/>
      <c r="I951" s="6"/>
      <c r="J951" s="6"/>
      <c r="K951" s="10"/>
      <c r="L951" s="10"/>
      <c r="M951" s="1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10"/>
      <c r="D952" s="10"/>
      <c r="E952" s="10"/>
      <c r="F952" s="10"/>
      <c r="G952" s="6"/>
      <c r="H952" s="6"/>
      <c r="I952" s="6"/>
      <c r="J952" s="6"/>
      <c r="K952" s="10"/>
      <c r="L952" s="10"/>
      <c r="M952" s="1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10"/>
      <c r="D953" s="10"/>
      <c r="E953" s="10"/>
      <c r="F953" s="10"/>
      <c r="G953" s="6"/>
      <c r="H953" s="6"/>
      <c r="I953" s="6"/>
      <c r="J953" s="6"/>
      <c r="K953" s="10"/>
      <c r="L953" s="10"/>
      <c r="M953" s="1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10"/>
      <c r="D954" s="10"/>
      <c r="E954" s="10"/>
      <c r="F954" s="10"/>
      <c r="G954" s="6"/>
      <c r="H954" s="6"/>
      <c r="I954" s="6"/>
      <c r="J954" s="6"/>
      <c r="K954" s="10"/>
      <c r="L954" s="10"/>
      <c r="M954" s="1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10"/>
      <c r="D955" s="10"/>
      <c r="E955" s="10"/>
      <c r="F955" s="10"/>
      <c r="G955" s="6"/>
      <c r="H955" s="6"/>
      <c r="I955" s="6"/>
      <c r="J955" s="6"/>
      <c r="K955" s="10"/>
      <c r="L955" s="10"/>
      <c r="M955" s="1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10"/>
      <c r="D956" s="10"/>
      <c r="E956" s="10"/>
      <c r="F956" s="10"/>
      <c r="G956" s="6"/>
      <c r="H956" s="6"/>
      <c r="I956" s="6"/>
      <c r="J956" s="6"/>
      <c r="K956" s="10"/>
      <c r="L956" s="10"/>
      <c r="M956" s="1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10"/>
      <c r="D957" s="10"/>
      <c r="E957" s="10"/>
      <c r="F957" s="10"/>
      <c r="G957" s="6"/>
      <c r="H957" s="6"/>
      <c r="I957" s="6"/>
      <c r="J957" s="6"/>
      <c r="K957" s="10"/>
      <c r="L957" s="10"/>
      <c r="M957" s="1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10"/>
      <c r="D958" s="10"/>
      <c r="E958" s="10"/>
      <c r="F958" s="10"/>
      <c r="G958" s="6"/>
      <c r="H958" s="6"/>
      <c r="I958" s="6"/>
      <c r="J958" s="6"/>
      <c r="K958" s="10"/>
      <c r="L958" s="10"/>
      <c r="M958" s="1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10"/>
      <c r="D959" s="10"/>
      <c r="E959" s="10"/>
      <c r="F959" s="10"/>
      <c r="G959" s="6"/>
      <c r="H959" s="6"/>
      <c r="I959" s="6"/>
      <c r="J959" s="6"/>
      <c r="K959" s="10"/>
      <c r="L959" s="10"/>
      <c r="M959" s="1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10"/>
      <c r="D960" s="10"/>
      <c r="E960" s="10"/>
      <c r="F960" s="10"/>
      <c r="G960" s="6"/>
      <c r="H960" s="6"/>
      <c r="I960" s="6"/>
      <c r="J960" s="6"/>
      <c r="K960" s="10"/>
      <c r="L960" s="10"/>
      <c r="M960" s="1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10"/>
      <c r="D961" s="10"/>
      <c r="E961" s="10"/>
      <c r="F961" s="10"/>
      <c r="G961" s="6"/>
      <c r="H961" s="6"/>
      <c r="I961" s="6"/>
      <c r="J961" s="6"/>
      <c r="K961" s="10"/>
      <c r="L961" s="10"/>
      <c r="M961" s="1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10"/>
      <c r="D962" s="10"/>
      <c r="E962" s="10"/>
      <c r="F962" s="10"/>
      <c r="G962" s="6"/>
      <c r="H962" s="6"/>
      <c r="I962" s="6"/>
      <c r="J962" s="6"/>
      <c r="K962" s="10"/>
      <c r="L962" s="10"/>
      <c r="M962" s="1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10"/>
      <c r="D963" s="10"/>
      <c r="E963" s="10"/>
      <c r="F963" s="10"/>
      <c r="G963" s="6"/>
      <c r="H963" s="6"/>
      <c r="I963" s="6"/>
      <c r="J963" s="6"/>
      <c r="K963" s="10"/>
      <c r="L963" s="10"/>
      <c r="M963" s="1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10"/>
      <c r="D964" s="10"/>
      <c r="E964" s="10"/>
      <c r="F964" s="10"/>
      <c r="G964" s="6"/>
      <c r="H964" s="6"/>
      <c r="I964" s="6"/>
      <c r="J964" s="6"/>
      <c r="K964" s="10"/>
      <c r="L964" s="10"/>
      <c r="M964" s="1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10"/>
      <c r="D965" s="10"/>
      <c r="E965" s="10"/>
      <c r="F965" s="10"/>
      <c r="G965" s="6"/>
      <c r="H965" s="6"/>
      <c r="I965" s="6"/>
      <c r="J965" s="6"/>
      <c r="K965" s="10"/>
      <c r="L965" s="10"/>
      <c r="M965" s="1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10"/>
      <c r="D966" s="10"/>
      <c r="E966" s="10"/>
      <c r="F966" s="10"/>
      <c r="G966" s="6"/>
      <c r="H966" s="6"/>
      <c r="I966" s="6"/>
      <c r="J966" s="6"/>
      <c r="K966" s="10"/>
      <c r="L966" s="10"/>
      <c r="M966" s="1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10"/>
      <c r="D967" s="10"/>
      <c r="E967" s="10"/>
      <c r="F967" s="10"/>
      <c r="G967" s="6"/>
      <c r="H967" s="6"/>
      <c r="I967" s="6"/>
      <c r="J967" s="6"/>
      <c r="K967" s="10"/>
      <c r="L967" s="10"/>
      <c r="M967" s="1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10"/>
      <c r="D968" s="10"/>
      <c r="E968" s="10"/>
      <c r="F968" s="10"/>
      <c r="G968" s="6"/>
      <c r="H968" s="6"/>
      <c r="I968" s="6"/>
      <c r="J968" s="6"/>
      <c r="K968" s="10"/>
      <c r="L968" s="10"/>
      <c r="M968" s="1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10"/>
      <c r="D969" s="10"/>
      <c r="E969" s="10"/>
      <c r="F969" s="10"/>
      <c r="G969" s="6"/>
      <c r="H969" s="6"/>
      <c r="I969" s="6"/>
      <c r="J969" s="6"/>
      <c r="K969" s="10"/>
      <c r="L969" s="10"/>
      <c r="M969" s="1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10"/>
      <c r="D970" s="10"/>
      <c r="E970" s="10"/>
      <c r="F970" s="10"/>
      <c r="G970" s="6"/>
      <c r="H970" s="6"/>
      <c r="I970" s="6"/>
      <c r="J970" s="6"/>
      <c r="K970" s="10"/>
      <c r="L970" s="10"/>
      <c r="M970" s="1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10"/>
      <c r="D971" s="10"/>
      <c r="E971" s="10"/>
      <c r="F971" s="10"/>
      <c r="G971" s="6"/>
      <c r="H971" s="6"/>
      <c r="I971" s="6"/>
      <c r="J971" s="6"/>
      <c r="K971" s="10"/>
      <c r="L971" s="10"/>
      <c r="M971" s="1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10"/>
      <c r="D972" s="10"/>
      <c r="E972" s="10"/>
      <c r="F972" s="10"/>
      <c r="G972" s="6"/>
      <c r="H972" s="6"/>
      <c r="I972" s="6"/>
      <c r="J972" s="6"/>
      <c r="K972" s="10"/>
      <c r="L972" s="10"/>
      <c r="M972" s="1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10"/>
      <c r="D973" s="10"/>
      <c r="E973" s="10"/>
      <c r="F973" s="10"/>
      <c r="G973" s="6"/>
      <c r="H973" s="6"/>
      <c r="I973" s="6"/>
      <c r="J973" s="6"/>
      <c r="K973" s="10"/>
      <c r="L973" s="10"/>
      <c r="M973" s="1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10"/>
      <c r="D974" s="10"/>
      <c r="E974" s="10"/>
      <c r="F974" s="10"/>
      <c r="G974" s="6"/>
      <c r="H974" s="6"/>
      <c r="I974" s="6"/>
      <c r="J974" s="6"/>
      <c r="K974" s="10"/>
      <c r="L974" s="10"/>
      <c r="M974" s="1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10"/>
      <c r="D975" s="10"/>
      <c r="E975" s="10"/>
      <c r="F975" s="10"/>
      <c r="G975" s="6"/>
      <c r="H975" s="6"/>
      <c r="I975" s="6"/>
      <c r="J975" s="6"/>
      <c r="K975" s="10"/>
      <c r="L975" s="10"/>
      <c r="M975" s="1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10"/>
      <c r="D976" s="10"/>
      <c r="E976" s="10"/>
      <c r="F976" s="10"/>
      <c r="G976" s="6"/>
      <c r="H976" s="6"/>
      <c r="I976" s="6"/>
      <c r="J976" s="6"/>
      <c r="K976" s="10"/>
      <c r="L976" s="10"/>
      <c r="M976" s="1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10"/>
      <c r="D977" s="10"/>
      <c r="E977" s="10"/>
      <c r="F977" s="10"/>
      <c r="G977" s="6"/>
      <c r="H977" s="6"/>
      <c r="I977" s="6"/>
      <c r="J977" s="6"/>
      <c r="K977" s="10"/>
      <c r="L977" s="10"/>
      <c r="M977" s="1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10"/>
      <c r="D978" s="10"/>
      <c r="E978" s="10"/>
      <c r="F978" s="10"/>
      <c r="G978" s="6"/>
      <c r="H978" s="6"/>
      <c r="I978" s="6"/>
      <c r="J978" s="6"/>
      <c r="K978" s="10"/>
      <c r="L978" s="10"/>
      <c r="M978" s="1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10"/>
      <c r="D979" s="10"/>
      <c r="E979" s="10"/>
      <c r="F979" s="10"/>
      <c r="G979" s="6"/>
      <c r="H979" s="6"/>
      <c r="I979" s="6"/>
      <c r="J979" s="6"/>
      <c r="K979" s="10"/>
      <c r="L979" s="10"/>
      <c r="M979" s="1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10"/>
      <c r="D980" s="10"/>
      <c r="E980" s="10"/>
      <c r="F980" s="10"/>
      <c r="G980" s="6"/>
      <c r="H980" s="6"/>
      <c r="I980" s="6"/>
      <c r="J980" s="6"/>
      <c r="K980" s="10"/>
      <c r="L980" s="10"/>
      <c r="M980" s="1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10"/>
      <c r="D981" s="10"/>
      <c r="E981" s="10"/>
      <c r="F981" s="10"/>
      <c r="G981" s="6"/>
      <c r="H981" s="6"/>
      <c r="I981" s="6"/>
      <c r="J981" s="6"/>
      <c r="K981" s="10"/>
      <c r="L981" s="10"/>
      <c r="M981" s="1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10"/>
      <c r="D982" s="10"/>
      <c r="E982" s="10"/>
      <c r="F982" s="10"/>
      <c r="G982" s="6"/>
      <c r="H982" s="6"/>
      <c r="I982" s="6"/>
      <c r="J982" s="6"/>
      <c r="K982" s="10"/>
      <c r="L982" s="10"/>
      <c r="M982" s="1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10"/>
      <c r="D983" s="10"/>
      <c r="E983" s="10"/>
      <c r="F983" s="10"/>
      <c r="G983" s="6"/>
      <c r="H983" s="6"/>
      <c r="I983" s="6"/>
      <c r="J983" s="6"/>
      <c r="K983" s="10"/>
      <c r="L983" s="10"/>
      <c r="M983" s="1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10"/>
      <c r="D984" s="10"/>
      <c r="E984" s="10"/>
      <c r="F984" s="10"/>
      <c r="G984" s="6"/>
      <c r="H984" s="6"/>
      <c r="I984" s="6"/>
      <c r="J984" s="6"/>
      <c r="K984" s="10"/>
      <c r="L984" s="10"/>
      <c r="M984" s="1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10"/>
      <c r="D985" s="10"/>
      <c r="E985" s="10"/>
      <c r="F985" s="10"/>
      <c r="G985" s="6"/>
      <c r="H985" s="6"/>
      <c r="I985" s="6"/>
      <c r="J985" s="6"/>
      <c r="K985" s="10"/>
      <c r="L985" s="10"/>
      <c r="M985" s="1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10"/>
      <c r="D986" s="10"/>
      <c r="E986" s="10"/>
      <c r="F986" s="10"/>
      <c r="G986" s="6"/>
      <c r="H986" s="6"/>
      <c r="I986" s="6"/>
      <c r="J986" s="6"/>
      <c r="K986" s="10"/>
      <c r="L986" s="10"/>
      <c r="M986" s="1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10"/>
      <c r="D987" s="10"/>
      <c r="E987" s="10"/>
      <c r="F987" s="10"/>
      <c r="G987" s="6"/>
      <c r="H987" s="6"/>
      <c r="I987" s="6"/>
      <c r="J987" s="6"/>
      <c r="K987" s="10"/>
      <c r="L987" s="10"/>
      <c r="M987" s="1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10"/>
      <c r="D988" s="10"/>
      <c r="E988" s="10"/>
      <c r="F988" s="10"/>
      <c r="G988" s="6"/>
      <c r="H988" s="6"/>
      <c r="I988" s="6"/>
      <c r="J988" s="6"/>
      <c r="K988" s="10"/>
      <c r="L988" s="10"/>
      <c r="M988" s="1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10"/>
      <c r="D989" s="10"/>
      <c r="E989" s="10"/>
      <c r="F989" s="10"/>
      <c r="G989" s="6"/>
      <c r="H989" s="6"/>
      <c r="I989" s="6"/>
      <c r="J989" s="6"/>
      <c r="K989" s="10"/>
      <c r="L989" s="10"/>
      <c r="M989" s="1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10"/>
      <c r="D990" s="10"/>
      <c r="E990" s="10"/>
      <c r="F990" s="10"/>
      <c r="G990" s="6"/>
      <c r="H990" s="6"/>
      <c r="I990" s="6"/>
      <c r="J990" s="6"/>
      <c r="K990" s="10"/>
      <c r="L990" s="10"/>
      <c r="M990" s="1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10"/>
      <c r="D991" s="10"/>
      <c r="E991" s="10"/>
      <c r="F991" s="10"/>
      <c r="G991" s="6"/>
      <c r="H991" s="6"/>
      <c r="I991" s="6"/>
      <c r="J991" s="6"/>
      <c r="K991" s="10"/>
      <c r="L991" s="10"/>
      <c r="M991" s="1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10"/>
      <c r="D992" s="10"/>
      <c r="E992" s="10"/>
      <c r="F992" s="10"/>
      <c r="G992" s="6"/>
      <c r="H992" s="6"/>
      <c r="I992" s="6"/>
      <c r="J992" s="6"/>
      <c r="K992" s="10"/>
      <c r="L992" s="10"/>
      <c r="M992" s="1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10"/>
      <c r="D993" s="10"/>
      <c r="E993" s="10"/>
      <c r="F993" s="10"/>
      <c r="G993" s="6"/>
      <c r="H993" s="6"/>
      <c r="I993" s="6"/>
      <c r="J993" s="6"/>
      <c r="K993" s="10"/>
      <c r="L993" s="10"/>
      <c r="M993" s="1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10"/>
      <c r="D994" s="10"/>
      <c r="E994" s="10"/>
      <c r="F994" s="10"/>
      <c r="G994" s="6"/>
      <c r="H994" s="6"/>
      <c r="I994" s="6"/>
      <c r="J994" s="6"/>
      <c r="K994" s="10"/>
      <c r="L994" s="10"/>
      <c r="M994" s="1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10"/>
      <c r="D995" s="10"/>
      <c r="E995" s="10"/>
      <c r="F995" s="10"/>
      <c r="G995" s="6"/>
      <c r="H995" s="6"/>
      <c r="I995" s="6"/>
      <c r="J995" s="6"/>
      <c r="K995" s="10"/>
      <c r="L995" s="10"/>
      <c r="M995" s="1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10"/>
      <c r="D996" s="10"/>
      <c r="E996" s="10"/>
      <c r="F996" s="10"/>
      <c r="G996" s="6"/>
      <c r="H996" s="6"/>
      <c r="I996" s="6"/>
      <c r="J996" s="6"/>
      <c r="K996" s="10"/>
      <c r="L996" s="10"/>
      <c r="M996" s="10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10"/>
      <c r="D997" s="10"/>
      <c r="E997" s="10"/>
      <c r="F997" s="10"/>
      <c r="G997" s="6"/>
      <c r="H997" s="6"/>
      <c r="I997" s="6"/>
      <c r="J997" s="6"/>
      <c r="K997" s="10"/>
      <c r="L997" s="10"/>
      <c r="M997" s="10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10"/>
      <c r="D998" s="10"/>
      <c r="E998" s="10"/>
      <c r="F998" s="10"/>
      <c r="G998" s="6"/>
      <c r="H998" s="6"/>
      <c r="I998" s="6"/>
      <c r="J998" s="6"/>
      <c r="K998" s="10"/>
      <c r="L998" s="10"/>
      <c r="M998" s="10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10"/>
      <c r="D999" s="10"/>
      <c r="E999" s="10"/>
      <c r="F999" s="10"/>
      <c r="G999" s="6"/>
      <c r="H999" s="6"/>
      <c r="I999" s="6"/>
      <c r="J999" s="6"/>
      <c r="K999" s="10"/>
      <c r="L999" s="10"/>
      <c r="M999" s="10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10"/>
      <c r="D1000" s="10"/>
      <c r="E1000" s="10"/>
      <c r="F1000" s="10"/>
      <c r="G1000" s="6"/>
      <c r="H1000" s="6"/>
      <c r="I1000" s="6"/>
      <c r="J1000" s="6"/>
      <c r="K1000" s="10"/>
      <c r="L1000" s="10"/>
      <c r="M1000" s="10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2:F2"/>
    <mergeCell ref="H2:M2"/>
    <mergeCell ref="H17:M17"/>
    <mergeCell ref="H33:M33"/>
    <mergeCell ref="H49:M49"/>
    <mergeCell ref="H64:M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4.0"/>
    <col customWidth="1" min="3" max="3" width="28.86"/>
    <col customWidth="1" min="4" max="4" width="14.0"/>
    <col customWidth="1" min="5" max="5" width="10.0"/>
    <col customWidth="1" min="6" max="26" width="8.71"/>
  </cols>
  <sheetData>
    <row r="1" ht="21.75" customHeight="1">
      <c r="A1" s="4" t="s">
        <v>2</v>
      </c>
      <c r="E1" s="4"/>
    </row>
    <row r="2" ht="15.75" customHeight="1">
      <c r="A2" s="9"/>
      <c r="B2" s="9"/>
      <c r="C2" s="9"/>
      <c r="D2" s="9"/>
      <c r="E2" s="9"/>
    </row>
    <row r="3" ht="15.75" customHeight="1">
      <c r="A3" s="13" t="s">
        <v>4</v>
      </c>
      <c r="E3" s="13"/>
    </row>
    <row r="4">
      <c r="A4" s="15"/>
    </row>
    <row r="5" ht="25.5" customHeight="1">
      <c r="A5" s="18" t="s">
        <v>7</v>
      </c>
      <c r="B5" s="16" t="s">
        <v>11</v>
      </c>
      <c r="C5" s="16" t="s">
        <v>13</v>
      </c>
      <c r="D5" s="16" t="s">
        <v>14</v>
      </c>
      <c r="E5" s="21"/>
    </row>
    <row r="6">
      <c r="A6" s="24" t="s">
        <v>18</v>
      </c>
      <c r="B6" s="30" t="s">
        <v>22</v>
      </c>
      <c r="C6" s="32" t="s">
        <v>29</v>
      </c>
      <c r="D6" s="32" t="s">
        <v>31</v>
      </c>
    </row>
    <row r="7">
      <c r="A7" s="24" t="s">
        <v>33</v>
      </c>
      <c r="B7" s="30" t="s">
        <v>34</v>
      </c>
      <c r="C7" s="32" t="s">
        <v>29</v>
      </c>
      <c r="D7" s="32" t="s">
        <v>31</v>
      </c>
    </row>
    <row r="8">
      <c r="A8" s="24" t="s">
        <v>36</v>
      </c>
      <c r="B8" s="30" t="s">
        <v>37</v>
      </c>
      <c r="C8" s="32" t="s">
        <v>29</v>
      </c>
      <c r="D8" s="32" t="s">
        <v>31</v>
      </c>
    </row>
    <row r="9">
      <c r="A9" s="24" t="s">
        <v>39</v>
      </c>
      <c r="B9" s="39" t="s">
        <v>41</v>
      </c>
      <c r="C9" s="32" t="s">
        <v>29</v>
      </c>
      <c r="D9" s="32" t="s">
        <v>31</v>
      </c>
    </row>
    <row r="10">
      <c r="A10" s="24" t="s">
        <v>43</v>
      </c>
      <c r="B10" s="39" t="s">
        <v>44</v>
      </c>
      <c r="C10" s="32" t="s">
        <v>45</v>
      </c>
      <c r="D10" s="32" t="s">
        <v>31</v>
      </c>
    </row>
    <row r="11">
      <c r="A11" s="24" t="s">
        <v>46</v>
      </c>
      <c r="B11" s="30" t="s">
        <v>47</v>
      </c>
      <c r="C11" s="32" t="s">
        <v>48</v>
      </c>
      <c r="D11" s="32" t="s">
        <v>50</v>
      </c>
    </row>
    <row r="12">
      <c r="A12" s="24" t="s">
        <v>51</v>
      </c>
      <c r="B12" s="39" t="s">
        <v>52</v>
      </c>
      <c r="C12" s="32" t="s">
        <v>29</v>
      </c>
      <c r="D12" s="32" t="s">
        <v>31</v>
      </c>
    </row>
    <row r="13">
      <c r="A13" s="44" t="s">
        <v>53</v>
      </c>
      <c r="B13" s="39" t="s">
        <v>55</v>
      </c>
      <c r="C13" s="47" t="s">
        <v>29</v>
      </c>
      <c r="D13" s="47" t="s">
        <v>31</v>
      </c>
    </row>
    <row r="14">
      <c r="A14" s="44" t="s">
        <v>57</v>
      </c>
      <c r="B14" s="39" t="s">
        <v>58</v>
      </c>
      <c r="C14" s="47" t="s">
        <v>29</v>
      </c>
      <c r="D14" s="47" t="s">
        <v>59</v>
      </c>
    </row>
    <row r="15">
      <c r="A15" s="44" t="s">
        <v>60</v>
      </c>
      <c r="B15" s="39" t="s">
        <v>61</v>
      </c>
      <c r="C15" s="47" t="s">
        <v>29</v>
      </c>
      <c r="D15" s="47" t="s">
        <v>31</v>
      </c>
    </row>
    <row r="16">
      <c r="A16" s="44" t="s">
        <v>63</v>
      </c>
      <c r="B16" s="39" t="s">
        <v>64</v>
      </c>
      <c r="C16" s="47" t="s">
        <v>29</v>
      </c>
      <c r="D16" s="47" t="s">
        <v>31</v>
      </c>
    </row>
    <row r="17">
      <c r="A17" s="44" t="s">
        <v>65</v>
      </c>
      <c r="B17" s="39" t="s">
        <v>66</v>
      </c>
      <c r="C17" s="47" t="s">
        <v>45</v>
      </c>
      <c r="D17" s="47" t="s">
        <v>31</v>
      </c>
    </row>
    <row r="18">
      <c r="A18" s="24" t="s">
        <v>67</v>
      </c>
      <c r="B18" s="39" t="s">
        <v>69</v>
      </c>
      <c r="C18" s="32" t="s">
        <v>70</v>
      </c>
      <c r="D18" s="32" t="s">
        <v>50</v>
      </c>
    </row>
    <row r="19">
      <c r="A19" s="44" t="s">
        <v>71</v>
      </c>
      <c r="B19" s="39" t="s">
        <v>72</v>
      </c>
      <c r="C19" s="47" t="s">
        <v>70</v>
      </c>
      <c r="D19" s="47" t="s">
        <v>50</v>
      </c>
    </row>
    <row r="20">
      <c r="A20" s="24" t="s">
        <v>73</v>
      </c>
      <c r="B20" s="30" t="s">
        <v>74</v>
      </c>
      <c r="C20" s="32" t="s">
        <v>75</v>
      </c>
      <c r="D20" s="32" t="s">
        <v>50</v>
      </c>
    </row>
    <row r="21">
      <c r="A21" s="24" t="s">
        <v>77</v>
      </c>
      <c r="B21" s="30" t="s">
        <v>78</v>
      </c>
      <c r="C21" s="32" t="s">
        <v>79</v>
      </c>
      <c r="D21" s="32" t="s">
        <v>31</v>
      </c>
    </row>
    <row r="22">
      <c r="A22" s="24" t="s">
        <v>80</v>
      </c>
      <c r="B22" s="30" t="s">
        <v>81</v>
      </c>
      <c r="C22" s="32" t="s">
        <v>82</v>
      </c>
      <c r="D22" s="32" t="s">
        <v>50</v>
      </c>
    </row>
    <row r="23">
      <c r="A23" s="24" t="s">
        <v>83</v>
      </c>
      <c r="B23" s="30" t="s">
        <v>85</v>
      </c>
      <c r="C23" s="32" t="s">
        <v>86</v>
      </c>
      <c r="D23" s="32" t="s">
        <v>31</v>
      </c>
    </row>
    <row r="24">
      <c r="A24" s="44" t="s">
        <v>87</v>
      </c>
      <c r="B24" s="39" t="s">
        <v>88</v>
      </c>
      <c r="C24" s="47" t="s">
        <v>90</v>
      </c>
      <c r="D24" s="47" t="s">
        <v>50</v>
      </c>
    </row>
    <row r="25">
      <c r="A25" s="44" t="s">
        <v>91</v>
      </c>
      <c r="B25" s="39" t="s">
        <v>90</v>
      </c>
      <c r="C25" s="47" t="s">
        <v>92</v>
      </c>
      <c r="D25" s="47" t="s">
        <v>50</v>
      </c>
    </row>
    <row r="26">
      <c r="A26" s="24" t="s">
        <v>93</v>
      </c>
      <c r="B26" s="30" t="s">
        <v>94</v>
      </c>
      <c r="C26" s="32" t="s">
        <v>95</v>
      </c>
      <c r="D26" s="32" t="s">
        <v>31</v>
      </c>
    </row>
    <row r="27">
      <c r="A27" s="24" t="s">
        <v>96</v>
      </c>
      <c r="B27" s="30" t="s">
        <v>98</v>
      </c>
      <c r="C27" s="32" t="s">
        <v>99</v>
      </c>
      <c r="D27" s="32" t="s">
        <v>50</v>
      </c>
    </row>
    <row r="28">
      <c r="A28" s="24" t="s">
        <v>100</v>
      </c>
      <c r="B28" s="30" t="s">
        <v>101</v>
      </c>
      <c r="C28" s="32" t="s">
        <v>95</v>
      </c>
      <c r="D28" s="32" t="s">
        <v>31</v>
      </c>
    </row>
    <row r="29">
      <c r="A29" s="44" t="s">
        <v>103</v>
      </c>
      <c r="B29" s="39" t="s">
        <v>104</v>
      </c>
      <c r="C29" s="47" t="s">
        <v>95</v>
      </c>
      <c r="D29" s="47" t="s">
        <v>31</v>
      </c>
    </row>
    <row r="30" ht="15.75" customHeight="1">
      <c r="A30" s="24" t="s">
        <v>105</v>
      </c>
      <c r="B30" s="30" t="s">
        <v>106</v>
      </c>
      <c r="C30" s="32" t="s">
        <v>107</v>
      </c>
      <c r="D30" s="32" t="s">
        <v>31</v>
      </c>
    </row>
    <row r="31" ht="15.75" customHeight="1">
      <c r="A31" s="24" t="s">
        <v>108</v>
      </c>
      <c r="B31" s="30" t="s">
        <v>109</v>
      </c>
      <c r="C31" s="32" t="s">
        <v>107</v>
      </c>
      <c r="D31" s="32" t="s">
        <v>31</v>
      </c>
    </row>
    <row r="32" ht="15.75" customHeight="1">
      <c r="A32" s="24" t="s">
        <v>110</v>
      </c>
      <c r="B32" s="39" t="s">
        <v>111</v>
      </c>
      <c r="C32" s="32" t="s">
        <v>107</v>
      </c>
      <c r="D32" s="32" t="s">
        <v>31</v>
      </c>
    </row>
    <row r="33" ht="15.75" customHeight="1">
      <c r="A33" s="24" t="s">
        <v>112</v>
      </c>
      <c r="B33" s="39" t="s">
        <v>113</v>
      </c>
      <c r="C33" s="32" t="s">
        <v>107</v>
      </c>
      <c r="D33" s="32" t="s">
        <v>31</v>
      </c>
    </row>
    <row r="34" ht="15.75" customHeight="1">
      <c r="A34" s="24" t="s">
        <v>114</v>
      </c>
      <c r="B34" s="30" t="s">
        <v>115</v>
      </c>
      <c r="C34" s="32" t="s">
        <v>107</v>
      </c>
      <c r="D34" s="32" t="s">
        <v>31</v>
      </c>
    </row>
    <row r="35" ht="15.75" customHeight="1">
      <c r="A35" s="51" t="s">
        <v>116</v>
      </c>
      <c r="B35" s="52" t="s">
        <v>117</v>
      </c>
      <c r="C35" s="53" t="s">
        <v>107</v>
      </c>
      <c r="D35" s="53" t="s">
        <v>31</v>
      </c>
    </row>
    <row r="36" ht="15.75" customHeight="1">
      <c r="A36" s="54" t="s">
        <v>118</v>
      </c>
      <c r="B36" s="55" t="s">
        <v>119</v>
      </c>
      <c r="C36" s="57" t="s">
        <v>107</v>
      </c>
      <c r="D36" s="57" t="s">
        <v>31</v>
      </c>
    </row>
    <row r="37" ht="15.75" customHeight="1">
      <c r="A37" s="59" t="s">
        <v>121</v>
      </c>
      <c r="B37" s="61" t="s">
        <v>122</v>
      </c>
      <c r="C37" s="63" t="s">
        <v>107</v>
      </c>
      <c r="D37" s="63" t="s">
        <v>31</v>
      </c>
    </row>
    <row r="38" ht="15.75" customHeight="1">
      <c r="A38" s="65" t="s">
        <v>123</v>
      </c>
      <c r="B38" s="66" t="s">
        <v>124</v>
      </c>
      <c r="C38" s="67" t="s">
        <v>107</v>
      </c>
      <c r="D38" s="67" t="s">
        <v>31</v>
      </c>
    </row>
    <row r="39" ht="15.75" customHeight="1">
      <c r="A39" s="65" t="s">
        <v>126</v>
      </c>
      <c r="B39" s="66" t="s">
        <v>127</v>
      </c>
      <c r="C39" s="67" t="s">
        <v>107</v>
      </c>
      <c r="D39" s="67" t="s">
        <v>31</v>
      </c>
    </row>
    <row r="40" ht="15.75" customHeight="1">
      <c r="A40" s="15"/>
    </row>
    <row r="41" ht="15.75" customHeight="1">
      <c r="A41" s="69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  <row r="1001" ht="15.75" customHeight="1">
      <c r="A1001" s="15"/>
    </row>
    <row r="1002" ht="15.75" customHeight="1">
      <c r="A1002" s="15"/>
    </row>
    <row r="1003" ht="15.75" customHeight="1">
      <c r="A1003" s="15"/>
    </row>
    <row r="1004" ht="15.75" customHeight="1">
      <c r="A1004" s="15"/>
    </row>
    <row r="1005" ht="15.75" customHeight="1">
      <c r="A1005" s="15"/>
    </row>
    <row r="1006" ht="15.75" customHeight="1">
      <c r="A1006" s="15"/>
    </row>
    <row r="1007" ht="15.75" customHeight="1">
      <c r="A1007" s="15"/>
    </row>
    <row r="1008" ht="15.75" customHeight="1">
      <c r="A1008" s="15"/>
    </row>
    <row r="1009" ht="15.75" customHeight="1">
      <c r="A1009" s="15"/>
    </row>
    <row r="1010" ht="15.75" customHeight="1">
      <c r="A1010" s="15"/>
    </row>
    <row r="1011" ht="15.75" customHeight="1">
      <c r="A1011" s="15"/>
    </row>
    <row r="1012" ht="15.75" customHeight="1">
      <c r="A1012" s="15"/>
    </row>
    <row r="1013" ht="15.75" customHeight="1">
      <c r="A1013" s="15"/>
    </row>
  </sheetData>
  <mergeCells count="3">
    <mergeCell ref="A1:D1"/>
    <mergeCell ref="A3:D3"/>
    <mergeCell ref="A41:E4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4.43"/>
    <col customWidth="1" min="3" max="3" width="48.57"/>
    <col customWidth="1" min="4" max="4" width="10.0"/>
    <col customWidth="1" min="5" max="5" width="30.0"/>
    <col customWidth="1" min="6" max="7" width="15.0"/>
    <col customWidth="1" min="8" max="8" width="8.71"/>
    <col customWidth="1" hidden="1" min="9" max="9" width="10.0"/>
    <col customWidth="1" hidden="1" min="10" max="10" width="14.0"/>
    <col customWidth="1" hidden="1" min="11" max="11" width="15.29"/>
    <col customWidth="1" hidden="1" min="12" max="12" width="8.71"/>
    <col customWidth="1" min="13" max="26" width="8.71"/>
  </cols>
  <sheetData>
    <row r="1" ht="21.75" customHeight="1">
      <c r="A1" s="1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8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2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17"/>
      <c r="E4" s="3"/>
      <c r="F4" s="20"/>
      <c r="G4" s="2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5.5" customHeight="1">
      <c r="A5" s="23" t="s">
        <v>16</v>
      </c>
      <c r="B5" s="23" t="s">
        <v>20</v>
      </c>
      <c r="C5" s="27" t="s">
        <v>21</v>
      </c>
      <c r="D5" s="29" t="s">
        <v>7</v>
      </c>
      <c r="E5" s="23" t="s">
        <v>11</v>
      </c>
      <c r="F5" s="31" t="s">
        <v>26</v>
      </c>
      <c r="G5" s="31" t="s">
        <v>28</v>
      </c>
      <c r="H5" s="34"/>
      <c r="I5" s="36" t="s">
        <v>35</v>
      </c>
      <c r="J5" s="36" t="s">
        <v>38</v>
      </c>
      <c r="K5" s="34"/>
      <c r="L5" s="38" t="s">
        <v>40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1">
        <v>46235.0</v>
      </c>
      <c r="B6" s="43"/>
      <c r="C6" s="45" t="s">
        <v>54</v>
      </c>
      <c r="D6" s="50" t="s">
        <v>33</v>
      </c>
      <c r="E6" s="43" t="str">
        <f>IFERROR(VLOOKUP(D6,'Daftar Akun'!A$6:$B$103,2,FALSE),"")</f>
        <v>Bank</v>
      </c>
      <c r="F6" s="60">
        <v>5.9266E7</v>
      </c>
      <c r="G6" s="62"/>
      <c r="H6" s="34"/>
      <c r="I6" s="68">
        <f t="shared" ref="I6:I909" si="1">IF(D6="","",COUNTIF($D$6:D6,D6))</f>
        <v>1</v>
      </c>
      <c r="J6" s="68" t="str">
        <f t="shared" ref="J6:J909" si="2">IF(D6="","",D6&amp;"-"&amp;I6)</f>
        <v>1102-1</v>
      </c>
      <c r="K6" s="71" t="str">
        <f>E7</f>
        <v>Modal Pemilik</v>
      </c>
      <c r="L6" s="34" t="str">
        <f t="shared" ref="L6:L803" si="3">IFERROR(INDEX($D$6:$D$909,MATCH(1,($A$6:$A$909=A6)*($C$6:$C$909=C6)*($D$6:$D$909&lt;&gt;D6),0)),"")</f>
        <v>3101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1">
        <v>46235.0</v>
      </c>
      <c r="B7" s="43"/>
      <c r="C7" s="45" t="s">
        <v>54</v>
      </c>
      <c r="D7" s="50" t="s">
        <v>73</v>
      </c>
      <c r="E7" s="43" t="str">
        <f>IFERROR(VLOOKUP(D7,'Daftar Akun'!A$6:$B$103,2,FALSE),"")</f>
        <v>Modal Pemilik</v>
      </c>
      <c r="F7" s="62"/>
      <c r="G7" s="60">
        <v>5.9266E7</v>
      </c>
      <c r="H7" s="34"/>
      <c r="I7" s="68">
        <f t="shared" si="1"/>
        <v>1</v>
      </c>
      <c r="J7" s="68" t="str">
        <f t="shared" si="2"/>
        <v>3101-1</v>
      </c>
      <c r="K7" s="71" t="str">
        <f>E6</f>
        <v>Bank</v>
      </c>
      <c r="L7" s="34" t="str">
        <f t="shared" si="3"/>
        <v>1102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72">
        <v>46235.0</v>
      </c>
      <c r="B8" s="73"/>
      <c r="C8" s="74" t="s">
        <v>138</v>
      </c>
      <c r="D8" s="76" t="s">
        <v>57</v>
      </c>
      <c r="E8" s="73" t="str">
        <f>IFERROR(VLOOKUP(D8,'Daftar Akun'!A$6:$B$103,2,FALSE),"")</f>
        <v>Piutang Investasi</v>
      </c>
      <c r="F8" s="77">
        <v>3.306E7</v>
      </c>
      <c r="G8" s="78"/>
      <c r="H8" s="34"/>
      <c r="I8" s="68">
        <f t="shared" si="1"/>
        <v>1</v>
      </c>
      <c r="J8" s="68" t="str">
        <f t="shared" si="2"/>
        <v>1109-1</v>
      </c>
      <c r="K8" s="71" t="str">
        <f>E9</f>
        <v>Bank</v>
      </c>
      <c r="L8" s="34" t="str">
        <f t="shared" si="3"/>
        <v>1102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72">
        <v>46235.0</v>
      </c>
      <c r="B9" s="73"/>
      <c r="C9" s="74" t="s">
        <v>138</v>
      </c>
      <c r="D9" s="76" t="s">
        <v>33</v>
      </c>
      <c r="E9" s="73" t="str">
        <f>IFERROR(VLOOKUP(D9,'Daftar Akun'!A$6:$B$103,2,FALSE),"")</f>
        <v>Bank</v>
      </c>
      <c r="F9" s="78"/>
      <c r="G9" s="77">
        <v>3.306E7</v>
      </c>
      <c r="H9" s="34"/>
      <c r="I9" s="68">
        <f t="shared" si="1"/>
        <v>2</v>
      </c>
      <c r="J9" s="68" t="str">
        <f t="shared" si="2"/>
        <v>1102-2</v>
      </c>
      <c r="K9" s="71" t="str">
        <f>E8</f>
        <v>Piutang Investasi</v>
      </c>
      <c r="L9" s="34" t="str">
        <f t="shared" si="3"/>
        <v>1109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41">
        <v>46235.0</v>
      </c>
      <c r="B10" s="43"/>
      <c r="C10" s="45" t="s">
        <v>144</v>
      </c>
      <c r="D10" s="50" t="s">
        <v>60</v>
      </c>
      <c r="E10" s="43" t="str">
        <f>IFERROR(VLOOKUP(D10,'Daftar Akun'!A$6:$B$103,2,FALSE),"")</f>
        <v>Uang Muka Pembelian Petani</v>
      </c>
      <c r="F10" s="60">
        <v>7000000.0</v>
      </c>
      <c r="G10" s="62"/>
      <c r="H10" s="34"/>
      <c r="I10" s="68">
        <f t="shared" si="1"/>
        <v>1</v>
      </c>
      <c r="J10" s="68" t="str">
        <f t="shared" si="2"/>
        <v>1110-1</v>
      </c>
      <c r="K10" s="71" t="str">
        <f>E11</f>
        <v>Bank</v>
      </c>
      <c r="L10" s="34" t="str">
        <f t="shared" si="3"/>
        <v>1102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41">
        <v>46235.0</v>
      </c>
      <c r="B11" s="43"/>
      <c r="C11" s="45" t="s">
        <v>144</v>
      </c>
      <c r="D11" s="50" t="s">
        <v>33</v>
      </c>
      <c r="E11" s="43" t="str">
        <f>IFERROR(VLOOKUP(D11,'Daftar Akun'!A$6:$B$103,2,FALSE),"")</f>
        <v>Bank</v>
      </c>
      <c r="F11" s="62"/>
      <c r="G11" s="60">
        <v>7000000.0</v>
      </c>
      <c r="H11" s="34"/>
      <c r="I11" s="68">
        <f t="shared" si="1"/>
        <v>3</v>
      </c>
      <c r="J11" s="68" t="str">
        <f t="shared" si="2"/>
        <v>1102-3</v>
      </c>
      <c r="K11" s="71" t="str">
        <f>E10</f>
        <v>Uang Muka Pembelian Petani</v>
      </c>
      <c r="L11" s="34" t="str">
        <f t="shared" si="3"/>
        <v>1110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88">
        <v>46235.0</v>
      </c>
      <c r="B12" s="89"/>
      <c r="C12" s="91" t="s">
        <v>148</v>
      </c>
      <c r="D12" s="92" t="s">
        <v>51</v>
      </c>
      <c r="E12" s="89" t="str">
        <f>IFERROR(VLOOKUP(D12,'Daftar Akun'!A$6:$B$103,2,FALSE),"")</f>
        <v>Piutang Ongkir</v>
      </c>
      <c r="F12" s="94">
        <v>854295.0</v>
      </c>
      <c r="G12" s="95"/>
      <c r="H12" s="34"/>
      <c r="I12" s="68">
        <f t="shared" si="1"/>
        <v>1</v>
      </c>
      <c r="J12" s="68" t="str">
        <f t="shared" si="2"/>
        <v>1107-1</v>
      </c>
      <c r="K12" s="71" t="str">
        <f>E13</f>
        <v>Bank</v>
      </c>
      <c r="L12" s="34" t="str">
        <f t="shared" si="3"/>
        <v>1102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88">
        <v>46235.0</v>
      </c>
      <c r="B13" s="89"/>
      <c r="C13" s="91" t="s">
        <v>148</v>
      </c>
      <c r="D13" s="92" t="s">
        <v>33</v>
      </c>
      <c r="E13" s="89" t="str">
        <f>IFERROR(VLOOKUP(D13,'Daftar Akun'!A$6:$B$103,2,FALSE),"")</f>
        <v>Bank</v>
      </c>
      <c r="F13" s="95"/>
      <c r="G13" s="94">
        <v>854295.0</v>
      </c>
      <c r="H13" s="34"/>
      <c r="I13" s="68">
        <f t="shared" si="1"/>
        <v>4</v>
      </c>
      <c r="J13" s="68" t="str">
        <f t="shared" si="2"/>
        <v>1102-4</v>
      </c>
      <c r="K13" s="71" t="str">
        <f>E12</f>
        <v>Piutang Ongkir</v>
      </c>
      <c r="L13" s="34" t="str">
        <f t="shared" si="3"/>
        <v>1107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41">
        <v>46235.0</v>
      </c>
      <c r="B14" s="43"/>
      <c r="C14" s="45" t="s">
        <v>152</v>
      </c>
      <c r="D14" s="50" t="s">
        <v>93</v>
      </c>
      <c r="E14" s="43" t="str">
        <f>IFERROR(VLOOKUP(D14,'Daftar Akun'!A$6:$B$103,2,FALSE),"")</f>
        <v>Pembelian Bunga</v>
      </c>
      <c r="F14" s="60">
        <v>1050000.0</v>
      </c>
      <c r="G14" s="60"/>
      <c r="H14" s="34"/>
      <c r="I14" s="68">
        <f t="shared" si="1"/>
        <v>1</v>
      </c>
      <c r="J14" s="68" t="str">
        <f t="shared" si="2"/>
        <v>5101-1</v>
      </c>
      <c r="K14" s="71" t="str">
        <f>E15</f>
        <v>Bank</v>
      </c>
      <c r="L14" s="34" t="str">
        <f t="shared" si="3"/>
        <v>1102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41">
        <v>46235.0</v>
      </c>
      <c r="B15" s="43"/>
      <c r="C15" s="45" t="s">
        <v>152</v>
      </c>
      <c r="D15" s="50" t="s">
        <v>33</v>
      </c>
      <c r="E15" s="43" t="str">
        <f>IFERROR(VLOOKUP(D15,'Daftar Akun'!A$6:$B$103,2,FALSE),"")</f>
        <v>Bank</v>
      </c>
      <c r="F15" s="60"/>
      <c r="G15" s="60">
        <v>1050000.0</v>
      </c>
      <c r="H15" s="34"/>
      <c r="I15" s="68">
        <f t="shared" si="1"/>
        <v>5</v>
      </c>
      <c r="J15" s="68" t="str">
        <f t="shared" si="2"/>
        <v>1102-5</v>
      </c>
      <c r="K15" s="71" t="str">
        <f>E14</f>
        <v>Pembelian Bunga</v>
      </c>
      <c r="L15" s="34" t="str">
        <f t="shared" si="3"/>
        <v>5101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72">
        <v>46235.0</v>
      </c>
      <c r="B16" s="73"/>
      <c r="C16" s="74" t="s">
        <v>153</v>
      </c>
      <c r="D16" s="76" t="s">
        <v>93</v>
      </c>
      <c r="E16" s="73" t="str">
        <f>IFERROR(VLOOKUP(D16,'Daftar Akun'!A$6:$B$103,2,FALSE),"")</f>
        <v>Pembelian Bunga</v>
      </c>
      <c r="F16" s="77">
        <v>1428000.0</v>
      </c>
      <c r="G16" s="77"/>
      <c r="H16" s="34"/>
      <c r="I16" s="68">
        <f t="shared" si="1"/>
        <v>2</v>
      </c>
      <c r="J16" s="68" t="str">
        <f t="shared" si="2"/>
        <v>5101-2</v>
      </c>
      <c r="K16" s="71" t="str">
        <f>E17</f>
        <v>Bank</v>
      </c>
      <c r="L16" s="34" t="str">
        <f t="shared" si="3"/>
        <v>1102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72">
        <v>46235.0</v>
      </c>
      <c r="B17" s="73"/>
      <c r="C17" s="74" t="s">
        <v>153</v>
      </c>
      <c r="D17" s="76" t="s">
        <v>33</v>
      </c>
      <c r="E17" s="73" t="str">
        <f>IFERROR(VLOOKUP(D17,'Daftar Akun'!A$6:$B$103,2,FALSE),"")</f>
        <v>Bank</v>
      </c>
      <c r="F17" s="78"/>
      <c r="G17" s="77">
        <v>1428000.0</v>
      </c>
      <c r="H17" s="34"/>
      <c r="I17" s="68">
        <f t="shared" si="1"/>
        <v>6</v>
      </c>
      <c r="J17" s="68" t="str">
        <f t="shared" si="2"/>
        <v>1102-6</v>
      </c>
      <c r="K17" s="71" t="str">
        <f>E16</f>
        <v>Pembelian Bunga</v>
      </c>
      <c r="L17" s="34" t="str">
        <f t="shared" si="3"/>
        <v>5101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1">
        <v>46235.0</v>
      </c>
      <c r="B18" s="43"/>
      <c r="C18" s="45" t="s">
        <v>155</v>
      </c>
      <c r="D18" s="50" t="s">
        <v>93</v>
      </c>
      <c r="E18" s="43" t="str">
        <f>IFERROR(VLOOKUP(D18,'Daftar Akun'!A$6:$B$103,2,FALSE),"")</f>
        <v>Pembelian Bunga</v>
      </c>
      <c r="F18" s="60">
        <v>650000.0</v>
      </c>
      <c r="G18" s="60"/>
      <c r="H18" s="34"/>
      <c r="I18" s="68">
        <f t="shared" si="1"/>
        <v>3</v>
      </c>
      <c r="J18" s="68" t="str">
        <f t="shared" si="2"/>
        <v>5101-3</v>
      </c>
      <c r="K18" s="71" t="str">
        <f>E19</f>
        <v>Bank</v>
      </c>
      <c r="L18" s="34" t="str">
        <f t="shared" si="3"/>
        <v>1102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41">
        <v>46235.0</v>
      </c>
      <c r="B19" s="43"/>
      <c r="C19" s="45" t="s">
        <v>155</v>
      </c>
      <c r="D19" s="50" t="s">
        <v>33</v>
      </c>
      <c r="E19" s="43" t="str">
        <f>IFERROR(VLOOKUP(D19,'Daftar Akun'!A$6:$B$103,2,FALSE),"")</f>
        <v>Bank</v>
      </c>
      <c r="F19" s="62"/>
      <c r="G19" s="60">
        <v>650000.0</v>
      </c>
      <c r="H19" s="34"/>
      <c r="I19" s="68">
        <f t="shared" si="1"/>
        <v>7</v>
      </c>
      <c r="J19" s="68" t="str">
        <f t="shared" si="2"/>
        <v>1102-7</v>
      </c>
      <c r="K19" s="71" t="str">
        <f>E18</f>
        <v>Pembelian Bunga</v>
      </c>
      <c r="L19" s="34" t="str">
        <f t="shared" si="3"/>
        <v>5101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72">
        <v>46235.0</v>
      </c>
      <c r="B20" s="102" t="s">
        <v>156</v>
      </c>
      <c r="C20" s="74" t="s">
        <v>157</v>
      </c>
      <c r="D20" s="76" t="s">
        <v>93</v>
      </c>
      <c r="E20" s="73" t="str">
        <f>IFERROR(VLOOKUP(D20,'Daftar Akun'!A$6:$B$103,2,FALSE),"")</f>
        <v>Pembelian Bunga</v>
      </c>
      <c r="F20" s="77">
        <v>282000.0</v>
      </c>
      <c r="G20" s="78"/>
      <c r="H20" s="34"/>
      <c r="I20" s="68">
        <f t="shared" si="1"/>
        <v>4</v>
      </c>
      <c r="J20" s="68" t="str">
        <f t="shared" si="2"/>
        <v>5101-4</v>
      </c>
      <c r="K20" s="71" t="str">
        <f>E21</f>
        <v>Bank</v>
      </c>
      <c r="L20" s="34" t="str">
        <f t="shared" si="3"/>
        <v>1102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72">
        <v>46235.0</v>
      </c>
      <c r="B21" s="102" t="s">
        <v>156</v>
      </c>
      <c r="C21" s="74" t="s">
        <v>157</v>
      </c>
      <c r="D21" s="76" t="s">
        <v>33</v>
      </c>
      <c r="E21" s="73" t="str">
        <f>IFERROR(VLOOKUP(D21,'Daftar Akun'!A$6:$B$103,2,FALSE),"")</f>
        <v>Bank</v>
      </c>
      <c r="F21" s="78"/>
      <c r="G21" s="77">
        <v>282000.0</v>
      </c>
      <c r="H21" s="34"/>
      <c r="I21" s="68">
        <f t="shared" si="1"/>
        <v>8</v>
      </c>
      <c r="J21" s="68" t="str">
        <f t="shared" si="2"/>
        <v>1102-8</v>
      </c>
      <c r="K21" s="71" t="str">
        <f>E20</f>
        <v>Pembelian Bunga</v>
      </c>
      <c r="L21" s="34" t="str">
        <f t="shared" si="3"/>
        <v>5101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41">
        <v>46235.0</v>
      </c>
      <c r="B22" s="43"/>
      <c r="C22" s="45" t="s">
        <v>159</v>
      </c>
      <c r="D22" s="50" t="s">
        <v>33</v>
      </c>
      <c r="E22" s="43" t="str">
        <f>IFERROR(VLOOKUP(D22,'Daftar Akun'!A$6:$B$103,2,FALSE),"")</f>
        <v>Bank</v>
      </c>
      <c r="F22" s="60">
        <v>854295.0</v>
      </c>
      <c r="G22" s="62"/>
      <c r="H22" s="34"/>
      <c r="I22" s="68">
        <f t="shared" si="1"/>
        <v>9</v>
      </c>
      <c r="J22" s="68" t="str">
        <f t="shared" si="2"/>
        <v>1102-9</v>
      </c>
      <c r="K22" s="71" t="str">
        <f>E23</f>
        <v>Piutang Ongkir</v>
      </c>
      <c r="L22" s="34" t="str">
        <f t="shared" si="3"/>
        <v>1107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41">
        <v>46235.0</v>
      </c>
      <c r="B23" s="43"/>
      <c r="C23" s="45" t="s">
        <v>159</v>
      </c>
      <c r="D23" s="50" t="s">
        <v>51</v>
      </c>
      <c r="E23" s="43" t="str">
        <f>IFERROR(VLOOKUP(D23,'Daftar Akun'!A$6:$B$103,2,FALSE),"")</f>
        <v>Piutang Ongkir</v>
      </c>
      <c r="F23" s="62"/>
      <c r="G23" s="60">
        <v>854295.0</v>
      </c>
      <c r="H23" s="34"/>
      <c r="I23" s="68">
        <f t="shared" si="1"/>
        <v>2</v>
      </c>
      <c r="J23" s="68" t="str">
        <f t="shared" si="2"/>
        <v>1107-2</v>
      </c>
      <c r="K23" s="71" t="str">
        <f>E22</f>
        <v>Bank</v>
      </c>
      <c r="L23" s="34" t="str">
        <f t="shared" si="3"/>
        <v>1102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72">
        <v>46235.0</v>
      </c>
      <c r="B24" s="73"/>
      <c r="C24" s="74" t="s">
        <v>160</v>
      </c>
      <c r="D24" s="76" t="s">
        <v>18</v>
      </c>
      <c r="E24" s="73" t="str">
        <f>IFERROR(VLOOKUP(D24,'Daftar Akun'!A$6:$B$103,2,FALSE),"")</f>
        <v>Kas</v>
      </c>
      <c r="F24" s="77">
        <v>1437000.0</v>
      </c>
      <c r="G24" s="78"/>
      <c r="H24" s="34"/>
      <c r="I24" s="68">
        <f t="shared" si="1"/>
        <v>1</v>
      </c>
      <c r="J24" s="68" t="str">
        <f t="shared" si="2"/>
        <v>1101-1</v>
      </c>
      <c r="K24" s="71" t="str">
        <f>E25</f>
        <v>Bank</v>
      </c>
      <c r="L24" s="34" t="str">
        <f t="shared" si="3"/>
        <v>1102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72">
        <v>46235.0</v>
      </c>
      <c r="B25" s="73"/>
      <c r="C25" s="74" t="s">
        <v>160</v>
      </c>
      <c r="D25" s="76" t="s">
        <v>33</v>
      </c>
      <c r="E25" s="73" t="str">
        <f>IFERROR(VLOOKUP(D25,'Daftar Akun'!A$6:$B$103,2,FALSE),"")</f>
        <v>Bank</v>
      </c>
      <c r="F25" s="78"/>
      <c r="G25" s="77">
        <v>1437000.0</v>
      </c>
      <c r="H25" s="34"/>
      <c r="I25" s="68">
        <f t="shared" si="1"/>
        <v>10</v>
      </c>
      <c r="J25" s="68" t="str">
        <f t="shared" si="2"/>
        <v>1102-10</v>
      </c>
      <c r="K25" s="71" t="str">
        <f>E24</f>
        <v>Kas</v>
      </c>
      <c r="L25" s="34" t="str">
        <f t="shared" si="3"/>
        <v>1101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41">
        <v>46235.0</v>
      </c>
      <c r="B26" s="43"/>
      <c r="C26" s="45" t="s">
        <v>161</v>
      </c>
      <c r="D26" s="50" t="s">
        <v>100</v>
      </c>
      <c r="E26" s="43" t="str">
        <f>IFERROR(VLOOKUP(D26,'Daftar Akun'!A$6:$B$103,2,FALSE),"")</f>
        <v>Beban Angkut Pembelian</v>
      </c>
      <c r="F26" s="60">
        <v>35000.0</v>
      </c>
      <c r="G26" s="62"/>
      <c r="H26" s="34"/>
      <c r="I26" s="68">
        <f t="shared" si="1"/>
        <v>1</v>
      </c>
      <c r="J26" s="68" t="str">
        <f t="shared" si="2"/>
        <v>5103-1</v>
      </c>
      <c r="K26" s="71" t="str">
        <f>E27</f>
        <v>Kas</v>
      </c>
      <c r="L26" s="34" t="str">
        <f t="shared" si="3"/>
        <v>1101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41">
        <v>46235.0</v>
      </c>
      <c r="B27" s="43"/>
      <c r="C27" s="45" t="s">
        <v>161</v>
      </c>
      <c r="D27" s="50" t="s">
        <v>18</v>
      </c>
      <c r="E27" s="43" t="str">
        <f>IFERROR(VLOOKUP(D27,'Daftar Akun'!A$6:$B$103,2,FALSE),"")</f>
        <v>Kas</v>
      </c>
      <c r="F27" s="62"/>
      <c r="G27" s="60">
        <v>35000.0</v>
      </c>
      <c r="H27" s="34"/>
      <c r="I27" s="68">
        <f t="shared" si="1"/>
        <v>2</v>
      </c>
      <c r="J27" s="68" t="str">
        <f t="shared" si="2"/>
        <v>1101-2</v>
      </c>
      <c r="K27" s="71" t="str">
        <f>E26</f>
        <v>Beban Angkut Pembelian</v>
      </c>
      <c r="L27" s="34" t="str">
        <f t="shared" si="3"/>
        <v>5103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72">
        <v>46235.0</v>
      </c>
      <c r="B28" s="73"/>
      <c r="C28" s="74" t="s">
        <v>162</v>
      </c>
      <c r="D28" s="76" t="s">
        <v>93</v>
      </c>
      <c r="E28" s="73" t="str">
        <f>IFERROR(VLOOKUP(D28,'Daftar Akun'!A$6:$B$103,2,FALSE),"")</f>
        <v>Pembelian Bunga</v>
      </c>
      <c r="F28" s="77">
        <v>183000.0</v>
      </c>
      <c r="G28" s="78"/>
      <c r="H28" s="34"/>
      <c r="I28" s="68">
        <f t="shared" si="1"/>
        <v>5</v>
      </c>
      <c r="J28" s="68" t="str">
        <f t="shared" si="2"/>
        <v>5101-5</v>
      </c>
      <c r="K28" s="71" t="str">
        <f>E29</f>
        <v>Kas</v>
      </c>
      <c r="L28" s="34" t="str">
        <f t="shared" si="3"/>
        <v>1101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72">
        <v>46235.0</v>
      </c>
      <c r="B29" s="73"/>
      <c r="C29" s="74" t="s">
        <v>162</v>
      </c>
      <c r="D29" s="76" t="s">
        <v>18</v>
      </c>
      <c r="E29" s="73" t="str">
        <f>IFERROR(VLOOKUP(D29,'Daftar Akun'!A$6:$B$103,2,FALSE),"")</f>
        <v>Kas</v>
      </c>
      <c r="F29" s="77"/>
      <c r="G29" s="77">
        <v>183000.0</v>
      </c>
      <c r="H29" s="34"/>
      <c r="I29" s="68">
        <f t="shared" si="1"/>
        <v>3</v>
      </c>
      <c r="J29" s="68" t="str">
        <f t="shared" si="2"/>
        <v>1101-3</v>
      </c>
      <c r="K29" s="71" t="str">
        <f>E28</f>
        <v>Pembelian Bunga</v>
      </c>
      <c r="L29" s="34" t="str">
        <f t="shared" si="3"/>
        <v>5101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41">
        <v>46235.0</v>
      </c>
      <c r="B30" s="103" t="s">
        <v>163</v>
      </c>
      <c r="C30" s="45" t="s">
        <v>164</v>
      </c>
      <c r="D30" s="50" t="s">
        <v>93</v>
      </c>
      <c r="E30" s="43" t="str">
        <f>IFERROR(VLOOKUP(D30,'Daftar Akun'!A$6:$B$103,2,FALSE),"")</f>
        <v>Pembelian Bunga</v>
      </c>
      <c r="F30" s="60">
        <v>17000.0</v>
      </c>
      <c r="G30" s="60"/>
      <c r="H30" s="34"/>
      <c r="I30" s="68">
        <f t="shared" si="1"/>
        <v>6</v>
      </c>
      <c r="J30" s="68" t="str">
        <f t="shared" si="2"/>
        <v>5101-6</v>
      </c>
      <c r="K30" s="71" t="str">
        <f>E31</f>
        <v>Kas</v>
      </c>
      <c r="L30" s="34" t="str">
        <f t="shared" si="3"/>
        <v>1101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41">
        <v>46235.0</v>
      </c>
      <c r="B31" s="103" t="s">
        <v>163</v>
      </c>
      <c r="C31" s="45" t="s">
        <v>164</v>
      </c>
      <c r="D31" s="50" t="s">
        <v>18</v>
      </c>
      <c r="E31" s="43" t="str">
        <f>IFERROR(VLOOKUP(D31,'Daftar Akun'!A$6:$B$103,2,FALSE),"")</f>
        <v>Kas</v>
      </c>
      <c r="F31" s="60"/>
      <c r="G31" s="60">
        <v>17000.0</v>
      </c>
      <c r="H31" s="34"/>
      <c r="I31" s="68">
        <f t="shared" si="1"/>
        <v>4</v>
      </c>
      <c r="J31" s="68" t="str">
        <f t="shared" si="2"/>
        <v>1101-4</v>
      </c>
      <c r="K31" s="71" t="str">
        <f>E30</f>
        <v>Pembelian Bunga</v>
      </c>
      <c r="L31" s="34" t="str">
        <f t="shared" si="3"/>
        <v>5101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72">
        <v>46235.0</v>
      </c>
      <c r="B32" s="73"/>
      <c r="C32" s="74" t="s">
        <v>165</v>
      </c>
      <c r="D32" s="76" t="s">
        <v>51</v>
      </c>
      <c r="E32" s="73" t="str">
        <f>IFERROR(VLOOKUP(D32,'Daftar Akun'!A$6:$B$103,2,FALSE),"")</f>
        <v>Piutang Ongkir</v>
      </c>
      <c r="F32" s="77">
        <v>70000.0</v>
      </c>
      <c r="G32" s="77"/>
      <c r="H32" s="34"/>
      <c r="I32" s="68">
        <f t="shared" si="1"/>
        <v>3</v>
      </c>
      <c r="J32" s="68" t="str">
        <f t="shared" si="2"/>
        <v>1107-3</v>
      </c>
      <c r="K32" s="71" t="str">
        <f>E33</f>
        <v>Kas</v>
      </c>
      <c r="L32" s="34" t="str">
        <f t="shared" si="3"/>
        <v>1101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72">
        <v>46235.0</v>
      </c>
      <c r="B33" s="73"/>
      <c r="C33" s="74" t="s">
        <v>165</v>
      </c>
      <c r="D33" s="76" t="s">
        <v>18</v>
      </c>
      <c r="E33" s="73" t="str">
        <f>IFERROR(VLOOKUP(D33,'Daftar Akun'!A$6:$B$103,2,FALSE),"")</f>
        <v>Kas</v>
      </c>
      <c r="F33" s="78"/>
      <c r="G33" s="77">
        <v>70000.0</v>
      </c>
      <c r="H33" s="34"/>
      <c r="I33" s="68">
        <f t="shared" si="1"/>
        <v>5</v>
      </c>
      <c r="J33" s="68" t="str">
        <f t="shared" si="2"/>
        <v>1101-5</v>
      </c>
      <c r="K33" s="71" t="str">
        <f>E32</f>
        <v>Piutang Ongkir</v>
      </c>
      <c r="L33" s="34" t="str">
        <f t="shared" si="3"/>
        <v>1107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41">
        <v>46235.0</v>
      </c>
      <c r="B34" s="43"/>
      <c r="C34" s="45" t="s">
        <v>148</v>
      </c>
      <c r="D34" s="50" t="s">
        <v>51</v>
      </c>
      <c r="E34" s="43" t="str">
        <f>IFERROR(VLOOKUP(D34,'Daftar Akun'!A$6:$B$103,2,FALSE),"")</f>
        <v>Piutang Ongkir</v>
      </c>
      <c r="F34" s="60">
        <v>1968519.0</v>
      </c>
      <c r="G34" s="62"/>
      <c r="H34" s="34"/>
      <c r="I34" s="68">
        <f t="shared" si="1"/>
        <v>4</v>
      </c>
      <c r="J34" s="68" t="str">
        <f t="shared" si="2"/>
        <v>1107-4</v>
      </c>
      <c r="K34" s="71" t="str">
        <f>E35</f>
        <v>Bank</v>
      </c>
      <c r="L34" s="34" t="str">
        <f t="shared" si="3"/>
        <v>1102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41">
        <v>46235.0</v>
      </c>
      <c r="B35" s="43"/>
      <c r="C35" s="45" t="s">
        <v>148</v>
      </c>
      <c r="D35" s="50" t="s">
        <v>33</v>
      </c>
      <c r="E35" s="43" t="str">
        <f>IFERROR(VLOOKUP(D35,'Daftar Akun'!A$6:$B$103,2,FALSE),"")</f>
        <v>Bank</v>
      </c>
      <c r="F35" s="62"/>
      <c r="G35" s="60">
        <v>1968519.0</v>
      </c>
      <c r="H35" s="34"/>
      <c r="I35" s="68">
        <f t="shared" si="1"/>
        <v>11</v>
      </c>
      <c r="J35" s="68" t="str">
        <f t="shared" si="2"/>
        <v>1102-11</v>
      </c>
      <c r="K35" s="71" t="str">
        <f>E34</f>
        <v>Piutang Ongkir</v>
      </c>
      <c r="L35" s="34" t="str">
        <f t="shared" si="3"/>
        <v>1107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72">
        <v>46235.0</v>
      </c>
      <c r="B36" s="73"/>
      <c r="C36" s="74" t="s">
        <v>168</v>
      </c>
      <c r="D36" s="76" t="s">
        <v>121</v>
      </c>
      <c r="E36" s="73" t="str">
        <f>IFERROR(VLOOKUP(D36,'Daftar Akun'!A$6:$B$103,2,FALSE),"")</f>
        <v>Beban Lain-Lain</v>
      </c>
      <c r="F36" s="77">
        <v>10000.0</v>
      </c>
      <c r="G36" s="78"/>
      <c r="H36" s="34"/>
      <c r="I36" s="68">
        <f t="shared" si="1"/>
        <v>1</v>
      </c>
      <c r="J36" s="68" t="str">
        <f t="shared" si="2"/>
        <v>6108-1</v>
      </c>
      <c r="K36" s="71" t="str">
        <f>E37</f>
        <v>Bank</v>
      </c>
      <c r="L36" s="34" t="str">
        <f t="shared" si="3"/>
        <v>1102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72">
        <v>46235.0</v>
      </c>
      <c r="B37" s="73"/>
      <c r="C37" s="74" t="s">
        <v>168</v>
      </c>
      <c r="D37" s="76" t="s">
        <v>33</v>
      </c>
      <c r="E37" s="73" t="str">
        <f>IFERROR(VLOOKUP(D37,'Daftar Akun'!A$6:$B$103,2,FALSE),"")</f>
        <v>Bank</v>
      </c>
      <c r="F37" s="77"/>
      <c r="G37" s="77">
        <v>10000.0</v>
      </c>
      <c r="H37" s="34"/>
      <c r="I37" s="68">
        <f t="shared" si="1"/>
        <v>12</v>
      </c>
      <c r="J37" s="68" t="str">
        <f t="shared" si="2"/>
        <v>1102-12</v>
      </c>
      <c r="K37" s="71" t="str">
        <f>E36</f>
        <v>Beban Lain-Lain</v>
      </c>
      <c r="L37" s="34" t="str">
        <f t="shared" si="3"/>
        <v>6108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41">
        <v>46235.0</v>
      </c>
      <c r="B38" s="103" t="s">
        <v>169</v>
      </c>
      <c r="C38" s="45" t="s">
        <v>170</v>
      </c>
      <c r="D38" s="50" t="s">
        <v>36</v>
      </c>
      <c r="E38" s="43" t="str">
        <f>IFERROR(VLOOKUP(D38,'Daftar Akun'!A$6:$B$103,2,FALSE),"")</f>
        <v>Piutang Dagang</v>
      </c>
      <c r="F38" s="60">
        <v>201000.0</v>
      </c>
      <c r="G38" s="60"/>
      <c r="H38" s="34"/>
      <c r="I38" s="68">
        <f t="shared" si="1"/>
        <v>1</v>
      </c>
      <c r="J38" s="68" t="str">
        <f t="shared" si="2"/>
        <v>1103-1</v>
      </c>
      <c r="K38" s="71" t="str">
        <f>E39</f>
        <v>Penjualan</v>
      </c>
      <c r="L38" s="34" t="str">
        <f t="shared" si="3"/>
        <v>4101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41">
        <v>46235.0</v>
      </c>
      <c r="B39" s="103" t="s">
        <v>169</v>
      </c>
      <c r="C39" s="45" t="s">
        <v>170</v>
      </c>
      <c r="D39" s="50" t="s">
        <v>80</v>
      </c>
      <c r="E39" s="43" t="str">
        <f>IFERROR(VLOOKUP(D39,'Daftar Akun'!A$6:$B$103,2,FALSE),"")</f>
        <v>Penjualan</v>
      </c>
      <c r="F39" s="62"/>
      <c r="G39" s="60">
        <v>201000.0</v>
      </c>
      <c r="H39" s="34"/>
      <c r="I39" s="68">
        <f t="shared" si="1"/>
        <v>1</v>
      </c>
      <c r="J39" s="68" t="str">
        <f t="shared" si="2"/>
        <v>4101-1</v>
      </c>
      <c r="K39" s="71" t="str">
        <f>E38</f>
        <v>Piutang Dagang</v>
      </c>
      <c r="L39" s="34" t="str">
        <f t="shared" si="3"/>
        <v>1103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72">
        <v>46235.0</v>
      </c>
      <c r="B40" s="102" t="s">
        <v>171</v>
      </c>
      <c r="C40" s="74" t="s">
        <v>172</v>
      </c>
      <c r="D40" s="76" t="s">
        <v>36</v>
      </c>
      <c r="E40" s="73" t="str">
        <f>IFERROR(VLOOKUP(D40,'Daftar Akun'!A$6:$B$103,2,FALSE),"")</f>
        <v>Piutang Dagang</v>
      </c>
      <c r="F40" s="77">
        <v>715000.0</v>
      </c>
      <c r="G40" s="78"/>
      <c r="H40" s="34"/>
      <c r="I40" s="68">
        <f t="shared" si="1"/>
        <v>2</v>
      </c>
      <c r="J40" s="68" t="str">
        <f t="shared" si="2"/>
        <v>1103-2</v>
      </c>
      <c r="K40" s="71" t="str">
        <f>E41</f>
        <v>Penjualan</v>
      </c>
      <c r="L40" s="34" t="str">
        <f t="shared" si="3"/>
        <v>4101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72">
        <v>46235.0</v>
      </c>
      <c r="B41" s="102" t="s">
        <v>171</v>
      </c>
      <c r="C41" s="74" t="s">
        <v>172</v>
      </c>
      <c r="D41" s="76" t="s">
        <v>80</v>
      </c>
      <c r="E41" s="73" t="str">
        <f>IFERROR(VLOOKUP(D41,'Daftar Akun'!A$6:$B$103,2,FALSE),"")</f>
        <v>Penjualan</v>
      </c>
      <c r="F41" s="78"/>
      <c r="G41" s="77">
        <v>715000.0</v>
      </c>
      <c r="H41" s="34"/>
      <c r="I41" s="68">
        <f t="shared" si="1"/>
        <v>2</v>
      </c>
      <c r="J41" s="68" t="str">
        <f t="shared" si="2"/>
        <v>4101-2</v>
      </c>
      <c r="K41" s="71" t="str">
        <f>E40</f>
        <v>Piutang Dagang</v>
      </c>
      <c r="L41" s="34" t="str">
        <f t="shared" si="3"/>
        <v>1103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112">
        <v>46235.0</v>
      </c>
      <c r="B42" s="113" t="s">
        <v>173</v>
      </c>
      <c r="C42" s="114" t="s">
        <v>174</v>
      </c>
      <c r="D42" s="115" t="s">
        <v>36</v>
      </c>
      <c r="E42" s="43" t="str">
        <f>IFERROR(VLOOKUP(D42,'Daftar Akun'!A$6:$B$103,2,FALSE),"")</f>
        <v>Piutang Dagang</v>
      </c>
      <c r="F42" s="116">
        <v>1385250.0</v>
      </c>
      <c r="G42" s="117"/>
      <c r="H42" s="34"/>
      <c r="I42" s="68">
        <f t="shared" si="1"/>
        <v>3</v>
      </c>
      <c r="J42" s="68" t="str">
        <f t="shared" si="2"/>
        <v>1103-3</v>
      </c>
      <c r="K42" s="71" t="str">
        <f>E43</f>
        <v>Penjualan</v>
      </c>
      <c r="L42" s="34" t="str">
        <f t="shared" si="3"/>
        <v>4101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118">
        <v>46235.0</v>
      </c>
      <c r="B43" s="119" t="s">
        <v>173</v>
      </c>
      <c r="C43" s="120" t="s">
        <v>174</v>
      </c>
      <c r="D43" s="121" t="s">
        <v>80</v>
      </c>
      <c r="E43" s="43" t="str">
        <f>IFERROR(VLOOKUP(D43,'Daftar Akun'!A$6:$B$103,2,FALSE),"")</f>
        <v>Penjualan</v>
      </c>
      <c r="F43" s="122"/>
      <c r="G43" s="122">
        <v>1385250.0</v>
      </c>
      <c r="H43" s="34"/>
      <c r="I43" s="68">
        <f t="shared" si="1"/>
        <v>3</v>
      </c>
      <c r="J43" s="68" t="str">
        <f t="shared" si="2"/>
        <v>4101-3</v>
      </c>
      <c r="K43" s="71" t="str">
        <f>E42</f>
        <v>Piutang Dagang</v>
      </c>
      <c r="L43" s="34" t="str">
        <f t="shared" si="3"/>
        <v>1103</v>
      </c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123">
        <v>46235.0</v>
      </c>
      <c r="B44" s="124" t="s">
        <v>175</v>
      </c>
      <c r="C44" s="125" t="s">
        <v>176</v>
      </c>
      <c r="D44" s="126" t="s">
        <v>33</v>
      </c>
      <c r="E44" s="73" t="str">
        <f>IFERROR(VLOOKUP(D44,'Daftar Akun'!A$6:$B$103,2,FALSE),"")</f>
        <v>Bank</v>
      </c>
      <c r="F44" s="127">
        <v>48000.0</v>
      </c>
      <c r="G44" s="127"/>
      <c r="H44" s="34"/>
      <c r="I44" s="68">
        <f t="shared" si="1"/>
        <v>13</v>
      </c>
      <c r="J44" s="68" t="str">
        <f t="shared" si="2"/>
        <v>1102-13</v>
      </c>
      <c r="K44" s="71" t="str">
        <f>E45</f>
        <v>Penjualan</v>
      </c>
      <c r="L44" s="34" t="str">
        <f t="shared" si="3"/>
        <v>4101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123">
        <v>46235.0</v>
      </c>
      <c r="B45" s="124" t="s">
        <v>175</v>
      </c>
      <c r="C45" s="125" t="s">
        <v>176</v>
      </c>
      <c r="D45" s="126" t="s">
        <v>80</v>
      </c>
      <c r="E45" s="73" t="str">
        <f>IFERROR(VLOOKUP(D45,'Daftar Akun'!A$6:$B$103,2,FALSE),"")</f>
        <v>Penjualan</v>
      </c>
      <c r="F45" s="128"/>
      <c r="G45" s="127">
        <v>48000.0</v>
      </c>
      <c r="H45" s="34"/>
      <c r="I45" s="68">
        <f t="shared" si="1"/>
        <v>4</v>
      </c>
      <c r="J45" s="68" t="str">
        <f t="shared" si="2"/>
        <v>4101-4</v>
      </c>
      <c r="K45" s="71" t="str">
        <f>E44</f>
        <v>Bank</v>
      </c>
      <c r="L45" s="34" t="str">
        <f t="shared" si="3"/>
        <v>1102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118">
        <v>46235.0</v>
      </c>
      <c r="B46" s="119" t="s">
        <v>178</v>
      </c>
      <c r="C46" s="120" t="s">
        <v>179</v>
      </c>
      <c r="D46" s="121" t="s">
        <v>33</v>
      </c>
      <c r="E46" s="43" t="str">
        <f>IFERROR(VLOOKUP(D46,'Daftar Akun'!A$6:$B$103,2,FALSE),"")</f>
        <v>Bank</v>
      </c>
      <c r="F46" s="122">
        <v>675000.0</v>
      </c>
      <c r="G46" s="129"/>
      <c r="H46" s="34"/>
      <c r="I46" s="68">
        <f t="shared" si="1"/>
        <v>14</v>
      </c>
      <c r="J46" s="68" t="str">
        <f t="shared" si="2"/>
        <v>1102-14</v>
      </c>
      <c r="K46" s="71" t="str">
        <f>E47</f>
        <v>Penjualan</v>
      </c>
      <c r="L46" s="34" t="str">
        <f t="shared" si="3"/>
        <v>4101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118">
        <v>46235.0</v>
      </c>
      <c r="B47" s="119" t="s">
        <v>178</v>
      </c>
      <c r="C47" s="120" t="s">
        <v>179</v>
      </c>
      <c r="D47" s="121" t="s">
        <v>80</v>
      </c>
      <c r="E47" s="43" t="str">
        <f>IFERROR(VLOOKUP(D47,'Daftar Akun'!A$6:$B$103,2,FALSE),"")</f>
        <v>Penjualan</v>
      </c>
      <c r="F47" s="129"/>
      <c r="G47" s="122">
        <v>675000.0</v>
      </c>
      <c r="H47" s="34"/>
      <c r="I47" s="68">
        <f t="shared" si="1"/>
        <v>5</v>
      </c>
      <c r="J47" s="68" t="str">
        <f t="shared" si="2"/>
        <v>4101-5</v>
      </c>
      <c r="K47" s="71" t="str">
        <f>E46</f>
        <v>Bank</v>
      </c>
      <c r="L47" s="34" t="str">
        <f t="shared" si="3"/>
        <v>1102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123">
        <v>46237.0</v>
      </c>
      <c r="B48" s="130"/>
      <c r="C48" s="125" t="s">
        <v>159</v>
      </c>
      <c r="D48" s="126" t="s">
        <v>33</v>
      </c>
      <c r="E48" s="73" t="str">
        <f>IFERROR(VLOOKUP(D48,'Daftar Akun'!A$6:$B$103,2,FALSE),"")</f>
        <v>Bank</v>
      </c>
      <c r="F48" s="127">
        <v>2038519.0</v>
      </c>
      <c r="G48" s="127"/>
      <c r="H48" s="34"/>
      <c r="I48" s="68">
        <f t="shared" si="1"/>
        <v>15</v>
      </c>
      <c r="J48" s="68" t="str">
        <f t="shared" si="2"/>
        <v>1102-15</v>
      </c>
      <c r="K48" s="71" t="str">
        <f>E49</f>
        <v>Piutang Ongkir</v>
      </c>
      <c r="L48" s="34" t="str">
        <f t="shared" si="3"/>
        <v>1107</v>
      </c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123">
        <v>46237.0</v>
      </c>
      <c r="B49" s="130"/>
      <c r="C49" s="125" t="s">
        <v>159</v>
      </c>
      <c r="D49" s="126" t="s">
        <v>51</v>
      </c>
      <c r="E49" s="73" t="str">
        <f>IFERROR(VLOOKUP(D49,'Daftar Akun'!A$6:$B$103,2,FALSE),"")</f>
        <v>Piutang Ongkir</v>
      </c>
      <c r="F49" s="128"/>
      <c r="G49" s="127">
        <v>2038519.0</v>
      </c>
      <c r="H49" s="34"/>
      <c r="I49" s="68">
        <f t="shared" si="1"/>
        <v>5</v>
      </c>
      <c r="J49" s="68" t="str">
        <f t="shared" si="2"/>
        <v>1107-5</v>
      </c>
      <c r="K49" s="71" t="str">
        <f>E48</f>
        <v>Bank</v>
      </c>
      <c r="L49" s="34" t="str">
        <f t="shared" si="3"/>
        <v>1102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118">
        <v>46237.0</v>
      </c>
      <c r="B50" s="131"/>
      <c r="C50" s="120" t="s">
        <v>180</v>
      </c>
      <c r="D50" s="121" t="s">
        <v>33</v>
      </c>
      <c r="E50" s="43" t="str">
        <f>IFERROR(VLOOKUP(D50,'Daftar Akun'!A$6:$B$103,2,FALSE),"")</f>
        <v>Bank</v>
      </c>
      <c r="F50" s="122">
        <v>2301250.0</v>
      </c>
      <c r="G50" s="129"/>
      <c r="H50" s="34"/>
      <c r="I50" s="68">
        <f t="shared" si="1"/>
        <v>16</v>
      </c>
      <c r="J50" s="68" t="str">
        <f t="shared" si="2"/>
        <v>1102-16</v>
      </c>
      <c r="K50" s="71" t="str">
        <f>E51</f>
        <v>Piutang Dagang</v>
      </c>
      <c r="L50" s="34" t="str">
        <f t="shared" si="3"/>
        <v>1103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118">
        <v>46237.0</v>
      </c>
      <c r="B51" s="131"/>
      <c r="C51" s="120" t="s">
        <v>180</v>
      </c>
      <c r="D51" s="121" t="s">
        <v>36</v>
      </c>
      <c r="E51" s="43" t="str">
        <f>IFERROR(VLOOKUP(D51,'Daftar Akun'!A$6:$B$103,2,FALSE),"")</f>
        <v>Piutang Dagang</v>
      </c>
      <c r="F51" s="129"/>
      <c r="G51" s="122">
        <v>2301250.0</v>
      </c>
      <c r="H51" s="34"/>
      <c r="I51" s="68">
        <f t="shared" si="1"/>
        <v>4</v>
      </c>
      <c r="J51" s="68" t="str">
        <f t="shared" si="2"/>
        <v>1103-4</v>
      </c>
      <c r="K51" s="71" t="str">
        <f>E50</f>
        <v>Bank</v>
      </c>
      <c r="L51" s="34" t="str">
        <f t="shared" si="3"/>
        <v>1102</v>
      </c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123">
        <v>46237.0</v>
      </c>
      <c r="B52" s="124" t="s">
        <v>181</v>
      </c>
      <c r="C52" s="125" t="s">
        <v>182</v>
      </c>
      <c r="D52" s="126" t="s">
        <v>93</v>
      </c>
      <c r="E52" s="73" t="str">
        <f>IFERROR(VLOOKUP(D52,'Daftar Akun'!A$6:$B$103,2,FALSE),"")</f>
        <v>Pembelian Bunga</v>
      </c>
      <c r="F52" s="127">
        <v>180000.0</v>
      </c>
      <c r="G52" s="128"/>
      <c r="H52" s="34"/>
      <c r="I52" s="68">
        <f t="shared" si="1"/>
        <v>7</v>
      </c>
      <c r="J52" s="68" t="str">
        <f t="shared" si="2"/>
        <v>5101-7</v>
      </c>
      <c r="K52" s="71" t="str">
        <f>E53</f>
        <v>Bank</v>
      </c>
      <c r="L52" s="34" t="str">
        <f t="shared" si="3"/>
        <v>1102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123">
        <v>46237.0</v>
      </c>
      <c r="B53" s="124" t="s">
        <v>181</v>
      </c>
      <c r="C53" s="125" t="s">
        <v>182</v>
      </c>
      <c r="D53" s="126" t="s">
        <v>33</v>
      </c>
      <c r="E53" s="73" t="str">
        <f>IFERROR(VLOOKUP(D53,'Daftar Akun'!A$6:$B$103,2,FALSE),"")</f>
        <v>Bank</v>
      </c>
      <c r="F53" s="128"/>
      <c r="G53" s="127">
        <v>180000.0</v>
      </c>
      <c r="H53" s="34"/>
      <c r="I53" s="68">
        <f t="shared" si="1"/>
        <v>17</v>
      </c>
      <c r="J53" s="68" t="str">
        <f t="shared" si="2"/>
        <v>1102-17</v>
      </c>
      <c r="K53" s="71" t="str">
        <f>E52</f>
        <v>Pembelian Bunga</v>
      </c>
      <c r="L53" s="34" t="str">
        <f t="shared" si="3"/>
        <v>5101</v>
      </c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118">
        <v>46237.0</v>
      </c>
      <c r="B54" s="119" t="s">
        <v>183</v>
      </c>
      <c r="C54" s="120" t="s">
        <v>182</v>
      </c>
      <c r="D54" s="121" t="s">
        <v>93</v>
      </c>
      <c r="E54" s="43" t="str">
        <f>IFERROR(VLOOKUP(D54,'Daftar Akun'!A$6:$B$103,2,FALSE),"")</f>
        <v>Pembelian Bunga</v>
      </c>
      <c r="F54" s="122">
        <v>50000.0</v>
      </c>
      <c r="G54" s="129"/>
      <c r="H54" s="34"/>
      <c r="I54" s="68">
        <f t="shared" si="1"/>
        <v>8</v>
      </c>
      <c r="J54" s="68" t="str">
        <f t="shared" si="2"/>
        <v>5101-8</v>
      </c>
      <c r="K54" s="71" t="str">
        <f>E55</f>
        <v>Bank</v>
      </c>
      <c r="L54" s="34" t="str">
        <f t="shared" si="3"/>
        <v>1102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118">
        <v>46237.0</v>
      </c>
      <c r="B55" s="119" t="s">
        <v>183</v>
      </c>
      <c r="C55" s="120" t="s">
        <v>182</v>
      </c>
      <c r="D55" s="121" t="s">
        <v>33</v>
      </c>
      <c r="E55" s="43" t="str">
        <f>IFERROR(VLOOKUP(D55,'Daftar Akun'!A$6:$B$103,2,FALSE),"")</f>
        <v>Bank</v>
      </c>
      <c r="F55" s="129"/>
      <c r="G55" s="122">
        <v>50000.0</v>
      </c>
      <c r="H55" s="34"/>
      <c r="I55" s="68">
        <f t="shared" si="1"/>
        <v>18</v>
      </c>
      <c r="J55" s="68" t="str">
        <f t="shared" si="2"/>
        <v>1102-18</v>
      </c>
      <c r="K55" s="71" t="str">
        <f>E54</f>
        <v>Pembelian Bunga</v>
      </c>
      <c r="L55" s="34" t="str">
        <f t="shared" si="3"/>
        <v>5101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123">
        <v>46237.0</v>
      </c>
      <c r="B56" s="130"/>
      <c r="C56" s="125" t="s">
        <v>184</v>
      </c>
      <c r="D56" s="126" t="s">
        <v>93</v>
      </c>
      <c r="E56" s="73" t="str">
        <f>IFERROR(VLOOKUP(D56,'Daftar Akun'!A$6:$B$103,2,FALSE),"")</f>
        <v>Pembelian Bunga</v>
      </c>
      <c r="F56" s="127">
        <v>418000.0</v>
      </c>
      <c r="G56" s="128"/>
      <c r="H56" s="34"/>
      <c r="I56" s="68">
        <f t="shared" si="1"/>
        <v>9</v>
      </c>
      <c r="J56" s="68" t="str">
        <f t="shared" si="2"/>
        <v>5101-9</v>
      </c>
      <c r="K56" s="71" t="str">
        <f>E57</f>
        <v>Bank</v>
      </c>
      <c r="L56" s="34" t="str">
        <f t="shared" si="3"/>
        <v>1102</v>
      </c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123">
        <v>46237.0</v>
      </c>
      <c r="B57" s="130"/>
      <c r="C57" s="125" t="s">
        <v>184</v>
      </c>
      <c r="D57" s="126" t="s">
        <v>33</v>
      </c>
      <c r="E57" s="73" t="str">
        <f>IFERROR(VLOOKUP(D57,'Daftar Akun'!A$6:$B$103,2,FALSE),"")</f>
        <v>Bank</v>
      </c>
      <c r="F57" s="128"/>
      <c r="G57" s="127">
        <v>418000.0</v>
      </c>
      <c r="H57" s="34"/>
      <c r="I57" s="68">
        <f t="shared" si="1"/>
        <v>19</v>
      </c>
      <c r="J57" s="68" t="str">
        <f t="shared" si="2"/>
        <v>1102-19</v>
      </c>
      <c r="K57" s="71" t="str">
        <f>E56</f>
        <v>Pembelian Bunga</v>
      </c>
      <c r="L57" s="34" t="str">
        <f t="shared" si="3"/>
        <v>5101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118">
        <v>46237.0</v>
      </c>
      <c r="B58" s="131"/>
      <c r="C58" s="120" t="s">
        <v>185</v>
      </c>
      <c r="D58" s="121" t="s">
        <v>93</v>
      </c>
      <c r="E58" s="43" t="str">
        <f>IFERROR(VLOOKUP(D58,'Daftar Akun'!A$6:$B$103,2,FALSE),"")</f>
        <v>Pembelian Bunga</v>
      </c>
      <c r="F58" s="122">
        <v>380000.0</v>
      </c>
      <c r="G58" s="129"/>
      <c r="H58" s="34"/>
      <c r="I58" s="68">
        <f t="shared" si="1"/>
        <v>10</v>
      </c>
      <c r="J58" s="68" t="str">
        <f t="shared" si="2"/>
        <v>5101-10</v>
      </c>
      <c r="K58" s="71" t="str">
        <f>E59</f>
        <v>Bank</v>
      </c>
      <c r="L58" s="34" t="str">
        <f t="shared" si="3"/>
        <v>1102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118">
        <v>46237.0</v>
      </c>
      <c r="B59" s="131"/>
      <c r="C59" s="120" t="s">
        <v>185</v>
      </c>
      <c r="D59" s="121" t="s">
        <v>33</v>
      </c>
      <c r="E59" s="43" t="str">
        <f>IFERROR(VLOOKUP(D59,'Daftar Akun'!A$6:$B$103,2,FALSE),"")</f>
        <v>Bank</v>
      </c>
      <c r="F59" s="129"/>
      <c r="G59" s="122">
        <v>380000.0</v>
      </c>
      <c r="H59" s="34"/>
      <c r="I59" s="68">
        <f t="shared" si="1"/>
        <v>20</v>
      </c>
      <c r="J59" s="68" t="str">
        <f t="shared" si="2"/>
        <v>1102-20</v>
      </c>
      <c r="K59" s="71" t="str">
        <f>E58</f>
        <v>Pembelian Bunga</v>
      </c>
      <c r="L59" s="34" t="str">
        <f t="shared" si="3"/>
        <v>5101</v>
      </c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123">
        <v>46237.0</v>
      </c>
      <c r="B60" s="130"/>
      <c r="C60" s="125" t="s">
        <v>187</v>
      </c>
      <c r="D60" s="126" t="s">
        <v>93</v>
      </c>
      <c r="E60" s="73" t="str">
        <f>IFERROR(VLOOKUP(D60,'Daftar Akun'!A$6:$B$103,2,FALSE),"")</f>
        <v>Pembelian Bunga</v>
      </c>
      <c r="F60" s="127">
        <v>240000.0</v>
      </c>
      <c r="G60" s="128"/>
      <c r="H60" s="34"/>
      <c r="I60" s="68">
        <f t="shared" si="1"/>
        <v>11</v>
      </c>
      <c r="J60" s="68" t="str">
        <f t="shared" si="2"/>
        <v>5101-11</v>
      </c>
      <c r="K60" s="71" t="str">
        <f>E61</f>
        <v>Bank</v>
      </c>
      <c r="L60" s="34" t="str">
        <f t="shared" si="3"/>
        <v>1102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123">
        <v>46237.0</v>
      </c>
      <c r="B61" s="130"/>
      <c r="C61" s="125" t="s">
        <v>187</v>
      </c>
      <c r="D61" s="126" t="s">
        <v>33</v>
      </c>
      <c r="E61" s="73" t="str">
        <f>IFERROR(VLOOKUP(D61,'Daftar Akun'!A$6:$B$103,2,FALSE),"")</f>
        <v>Bank</v>
      </c>
      <c r="F61" s="128"/>
      <c r="G61" s="127">
        <v>240000.0</v>
      </c>
      <c r="H61" s="34"/>
      <c r="I61" s="68">
        <f t="shared" si="1"/>
        <v>21</v>
      </c>
      <c r="J61" s="68" t="str">
        <f t="shared" si="2"/>
        <v>1102-21</v>
      </c>
      <c r="K61" s="71" t="str">
        <f>E60</f>
        <v>Pembelian Bunga</v>
      </c>
      <c r="L61" s="34" t="str">
        <f t="shared" si="3"/>
        <v>5101</v>
      </c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118">
        <v>46237.0</v>
      </c>
      <c r="B62" s="119" t="s">
        <v>188</v>
      </c>
      <c r="C62" s="120" t="s">
        <v>189</v>
      </c>
      <c r="D62" s="121" t="s">
        <v>93</v>
      </c>
      <c r="E62" s="43" t="str">
        <f>IFERROR(VLOOKUP(D62,'Daftar Akun'!A$6:$B$103,2,FALSE),"")</f>
        <v>Pembelian Bunga</v>
      </c>
      <c r="F62" s="122">
        <v>250000.0</v>
      </c>
      <c r="G62" s="129"/>
      <c r="H62" s="34"/>
      <c r="I62" s="68">
        <f t="shared" si="1"/>
        <v>12</v>
      </c>
      <c r="J62" s="68" t="str">
        <f t="shared" si="2"/>
        <v>5101-12</v>
      </c>
      <c r="K62" s="71" t="str">
        <f>E63</f>
        <v>Kas</v>
      </c>
      <c r="L62" s="34" t="str">
        <f t="shared" si="3"/>
        <v>1101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118">
        <v>46237.0</v>
      </c>
      <c r="B63" s="119" t="s">
        <v>188</v>
      </c>
      <c r="C63" s="120" t="s">
        <v>189</v>
      </c>
      <c r="D63" s="121" t="s">
        <v>18</v>
      </c>
      <c r="E63" s="43" t="str">
        <f>IFERROR(VLOOKUP(D63,'Daftar Akun'!A$6:$B$103,2,FALSE),"")</f>
        <v>Kas</v>
      </c>
      <c r="F63" s="129"/>
      <c r="G63" s="122">
        <v>250000.0</v>
      </c>
      <c r="H63" s="34"/>
      <c r="I63" s="68">
        <f t="shared" si="1"/>
        <v>6</v>
      </c>
      <c r="J63" s="68" t="str">
        <f t="shared" si="2"/>
        <v>1101-6</v>
      </c>
      <c r="K63" s="71" t="str">
        <f>E62</f>
        <v>Pembelian Bunga</v>
      </c>
      <c r="L63" s="34" t="str">
        <f t="shared" si="3"/>
        <v>5101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123">
        <v>46237.0</v>
      </c>
      <c r="B64" s="124" t="s">
        <v>190</v>
      </c>
      <c r="C64" s="125" t="s">
        <v>162</v>
      </c>
      <c r="D64" s="126" t="s">
        <v>93</v>
      </c>
      <c r="E64" s="73" t="str">
        <f>IFERROR(VLOOKUP(D64,'Daftar Akun'!A$6:$B$103,2,FALSE),"")</f>
        <v>Pembelian Bunga</v>
      </c>
      <c r="F64" s="127">
        <v>125000.0</v>
      </c>
      <c r="G64" s="128"/>
      <c r="H64" s="34"/>
      <c r="I64" s="68">
        <f t="shared" si="1"/>
        <v>13</v>
      </c>
      <c r="J64" s="68" t="str">
        <f t="shared" si="2"/>
        <v>5101-13</v>
      </c>
      <c r="K64" s="71" t="str">
        <f>E65</f>
        <v>Kas</v>
      </c>
      <c r="L64" s="34" t="str">
        <f t="shared" si="3"/>
        <v>1101</v>
      </c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123">
        <v>46237.0</v>
      </c>
      <c r="B65" s="124" t="s">
        <v>190</v>
      </c>
      <c r="C65" s="125" t="s">
        <v>162</v>
      </c>
      <c r="D65" s="126" t="s">
        <v>18</v>
      </c>
      <c r="E65" s="73" t="str">
        <f>IFERROR(VLOOKUP(D65,'Daftar Akun'!A$6:$B$103,2,FALSE),"")</f>
        <v>Kas</v>
      </c>
      <c r="F65" s="128"/>
      <c r="G65" s="127">
        <v>125000.0</v>
      </c>
      <c r="H65" s="34"/>
      <c r="I65" s="68">
        <f t="shared" si="1"/>
        <v>7</v>
      </c>
      <c r="J65" s="68" t="str">
        <f t="shared" si="2"/>
        <v>1101-7</v>
      </c>
      <c r="K65" s="71" t="str">
        <f>E64</f>
        <v>Pembelian Bunga</v>
      </c>
      <c r="L65" s="34" t="str">
        <f t="shared" si="3"/>
        <v>5101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118">
        <v>46237.0</v>
      </c>
      <c r="B66" s="119" t="s">
        <v>191</v>
      </c>
      <c r="C66" s="120" t="s">
        <v>192</v>
      </c>
      <c r="D66" s="121" t="s">
        <v>93</v>
      </c>
      <c r="E66" s="43" t="str">
        <f>IFERROR(VLOOKUP(D66,'Daftar Akun'!A$6:$B$103,2,FALSE),"")</f>
        <v>Pembelian Bunga</v>
      </c>
      <c r="F66" s="122">
        <v>100000.0</v>
      </c>
      <c r="G66" s="129"/>
      <c r="H66" s="34"/>
      <c r="I66" s="68">
        <f t="shared" si="1"/>
        <v>14</v>
      </c>
      <c r="J66" s="68" t="str">
        <f t="shared" si="2"/>
        <v>5101-14</v>
      </c>
      <c r="K66" s="71" t="str">
        <f>E67</f>
        <v>Kas</v>
      </c>
      <c r="L66" s="34" t="str">
        <f t="shared" si="3"/>
        <v>1101</v>
      </c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118">
        <v>46237.0</v>
      </c>
      <c r="B67" s="119" t="s">
        <v>191</v>
      </c>
      <c r="C67" s="120" t="s">
        <v>192</v>
      </c>
      <c r="D67" s="121" t="s">
        <v>18</v>
      </c>
      <c r="E67" s="43" t="str">
        <f>IFERROR(VLOOKUP(D67,'Daftar Akun'!A$6:$B$103,2,FALSE),"")</f>
        <v>Kas</v>
      </c>
      <c r="F67" s="129"/>
      <c r="G67" s="122">
        <v>100000.0</v>
      </c>
      <c r="H67" s="34"/>
      <c r="I67" s="68">
        <f t="shared" si="1"/>
        <v>8</v>
      </c>
      <c r="J67" s="68" t="str">
        <f t="shared" si="2"/>
        <v>1101-8</v>
      </c>
      <c r="K67" s="71" t="str">
        <f>E66</f>
        <v>Pembelian Bunga</v>
      </c>
      <c r="L67" s="34" t="str">
        <f t="shared" si="3"/>
        <v>5101</v>
      </c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123">
        <v>46237.0</v>
      </c>
      <c r="B68" s="124" t="s">
        <v>193</v>
      </c>
      <c r="C68" s="125" t="s">
        <v>176</v>
      </c>
      <c r="D68" s="126" t="s">
        <v>18</v>
      </c>
      <c r="E68" s="73" t="str">
        <f>IFERROR(VLOOKUP(D68,'Daftar Akun'!A$6:$B$103,2,FALSE),"")</f>
        <v>Kas</v>
      </c>
      <c r="F68" s="127">
        <v>16000.0</v>
      </c>
      <c r="G68" s="128"/>
      <c r="H68" s="34"/>
      <c r="I68" s="68">
        <f t="shared" si="1"/>
        <v>9</v>
      </c>
      <c r="J68" s="68" t="str">
        <f t="shared" si="2"/>
        <v>1101-9</v>
      </c>
      <c r="K68" s="71" t="str">
        <f>E69</f>
        <v>Penjualan</v>
      </c>
      <c r="L68" s="34" t="str">
        <f t="shared" si="3"/>
        <v>4101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123">
        <v>46237.0</v>
      </c>
      <c r="B69" s="124" t="s">
        <v>193</v>
      </c>
      <c r="C69" s="125" t="s">
        <v>176</v>
      </c>
      <c r="D69" s="126" t="s">
        <v>80</v>
      </c>
      <c r="E69" s="73" t="str">
        <f>IFERROR(VLOOKUP(D69,'Daftar Akun'!A$6:$B$103,2,FALSE),"")</f>
        <v>Penjualan</v>
      </c>
      <c r="F69" s="128"/>
      <c r="G69" s="127">
        <v>16000.0</v>
      </c>
      <c r="H69" s="34"/>
      <c r="I69" s="68">
        <f t="shared" si="1"/>
        <v>6</v>
      </c>
      <c r="J69" s="68" t="str">
        <f t="shared" si="2"/>
        <v>4101-6</v>
      </c>
      <c r="K69" s="71" t="str">
        <f>E68</f>
        <v>Kas</v>
      </c>
      <c r="L69" s="34" t="str">
        <f t="shared" si="3"/>
        <v>1101</v>
      </c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118">
        <v>46237.0</v>
      </c>
      <c r="B70" s="119" t="s">
        <v>194</v>
      </c>
      <c r="C70" s="120" t="s">
        <v>195</v>
      </c>
      <c r="D70" s="121" t="s">
        <v>93</v>
      </c>
      <c r="E70" s="43" t="str">
        <f>IFERROR(VLOOKUP(D70,'Daftar Akun'!A$6:$B$103,2,FALSE),"")</f>
        <v>Pembelian Bunga</v>
      </c>
      <c r="F70" s="122">
        <v>198000.0</v>
      </c>
      <c r="G70" s="129"/>
      <c r="H70" s="34"/>
      <c r="I70" s="68">
        <f t="shared" si="1"/>
        <v>15</v>
      </c>
      <c r="J70" s="68" t="str">
        <f t="shared" si="2"/>
        <v>5101-15</v>
      </c>
      <c r="K70" s="71" t="str">
        <f>E71</f>
        <v>Hutang Dagang</v>
      </c>
      <c r="L70" s="34" t="str">
        <f t="shared" si="3"/>
        <v>2101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118">
        <v>46237.0</v>
      </c>
      <c r="B71" s="119" t="s">
        <v>194</v>
      </c>
      <c r="C71" s="120" t="s">
        <v>195</v>
      </c>
      <c r="D71" s="121" t="s">
        <v>67</v>
      </c>
      <c r="E71" s="43" t="str">
        <f>IFERROR(VLOOKUP(D71,'Daftar Akun'!A$6:$B$103,2,FALSE),"")</f>
        <v>Hutang Dagang</v>
      </c>
      <c r="F71" s="129"/>
      <c r="G71" s="122">
        <v>198000.0</v>
      </c>
      <c r="H71" s="34"/>
      <c r="I71" s="68">
        <f t="shared" si="1"/>
        <v>1</v>
      </c>
      <c r="J71" s="68" t="str">
        <f t="shared" si="2"/>
        <v>2101-1</v>
      </c>
      <c r="K71" s="71" t="str">
        <f>E70</f>
        <v>Pembelian Bunga</v>
      </c>
      <c r="L71" s="34" t="str">
        <f t="shared" si="3"/>
        <v>5101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123">
        <v>46237.0</v>
      </c>
      <c r="B72" s="130"/>
      <c r="C72" s="125" t="s">
        <v>196</v>
      </c>
      <c r="D72" s="126" t="s">
        <v>18</v>
      </c>
      <c r="E72" s="73" t="str">
        <f>IFERROR(VLOOKUP(D72,'Daftar Akun'!A$6:$B$103,2,FALSE),"")</f>
        <v>Kas</v>
      </c>
      <c r="F72" s="127">
        <v>70000.0</v>
      </c>
      <c r="G72" s="128"/>
      <c r="H72" s="34"/>
      <c r="I72" s="68">
        <f t="shared" si="1"/>
        <v>10</v>
      </c>
      <c r="J72" s="68" t="str">
        <f t="shared" si="2"/>
        <v>1101-10</v>
      </c>
      <c r="K72" s="71" t="str">
        <f>E73</f>
        <v>Modal Pemilik</v>
      </c>
      <c r="L72" s="34" t="str">
        <f t="shared" si="3"/>
        <v>3101</v>
      </c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123">
        <v>46237.0</v>
      </c>
      <c r="B73" s="130"/>
      <c r="C73" s="125" t="s">
        <v>196</v>
      </c>
      <c r="D73" s="126" t="s">
        <v>73</v>
      </c>
      <c r="E73" s="73" t="str">
        <f>IFERROR(VLOOKUP(D73,'Daftar Akun'!A$6:$B$103,2,FALSE),"")</f>
        <v>Modal Pemilik</v>
      </c>
      <c r="F73" s="128"/>
      <c r="G73" s="127">
        <v>70000.0</v>
      </c>
      <c r="H73" s="34"/>
      <c r="I73" s="68">
        <f t="shared" si="1"/>
        <v>2</v>
      </c>
      <c r="J73" s="68" t="str">
        <f t="shared" si="2"/>
        <v>3101-2</v>
      </c>
      <c r="K73" s="71" t="str">
        <f>E72</f>
        <v>Kas</v>
      </c>
      <c r="L73" s="34" t="str">
        <f t="shared" si="3"/>
        <v>1101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118">
        <v>46237.0</v>
      </c>
      <c r="B74" s="119" t="s">
        <v>197</v>
      </c>
      <c r="C74" s="120" t="s">
        <v>198</v>
      </c>
      <c r="D74" s="121" t="s">
        <v>36</v>
      </c>
      <c r="E74" s="43" t="str">
        <f>IFERROR(VLOOKUP(D74,'Daftar Akun'!A$6:$B$103,2,FALSE),"")</f>
        <v>Piutang Dagang</v>
      </c>
      <c r="F74" s="122">
        <v>810000.0</v>
      </c>
      <c r="G74" s="129"/>
      <c r="H74" s="34"/>
      <c r="I74" s="68">
        <f t="shared" si="1"/>
        <v>5</v>
      </c>
      <c r="J74" s="68" t="str">
        <f t="shared" si="2"/>
        <v>1103-5</v>
      </c>
      <c r="K74" s="71" t="str">
        <f>E75</f>
        <v>Penjualan</v>
      </c>
      <c r="L74" s="34" t="str">
        <f t="shared" si="3"/>
        <v>4101</v>
      </c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118">
        <v>46237.0</v>
      </c>
      <c r="B75" s="119" t="s">
        <v>197</v>
      </c>
      <c r="C75" s="120" t="s">
        <v>198</v>
      </c>
      <c r="D75" s="121" t="s">
        <v>80</v>
      </c>
      <c r="E75" s="43" t="str">
        <f>IFERROR(VLOOKUP(D75,'Daftar Akun'!A$6:$B$103,2,FALSE),"")</f>
        <v>Penjualan</v>
      </c>
      <c r="F75" s="129"/>
      <c r="G75" s="122">
        <v>810000.0</v>
      </c>
      <c r="H75" s="34"/>
      <c r="I75" s="68">
        <f t="shared" si="1"/>
        <v>7</v>
      </c>
      <c r="J75" s="68" t="str">
        <f t="shared" si="2"/>
        <v>4101-7</v>
      </c>
      <c r="K75" s="71" t="str">
        <f>E74</f>
        <v>Piutang Dagang</v>
      </c>
      <c r="L75" s="34" t="str">
        <f t="shared" si="3"/>
        <v>1103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123">
        <v>46237.0</v>
      </c>
      <c r="B76" s="124" t="s">
        <v>199</v>
      </c>
      <c r="C76" s="125" t="s">
        <v>200</v>
      </c>
      <c r="D76" s="126" t="s">
        <v>36</v>
      </c>
      <c r="E76" s="73" t="str">
        <f>IFERROR(VLOOKUP(D76,'Daftar Akun'!A$6:$B$103,2,FALSE),"")</f>
        <v>Piutang Dagang</v>
      </c>
      <c r="F76" s="127">
        <v>645000.0</v>
      </c>
      <c r="G76" s="128"/>
      <c r="H76" s="34"/>
      <c r="I76" s="68">
        <f t="shared" si="1"/>
        <v>6</v>
      </c>
      <c r="J76" s="68" t="str">
        <f t="shared" si="2"/>
        <v>1103-6</v>
      </c>
      <c r="K76" s="71" t="str">
        <f>E77</f>
        <v>Penjualan</v>
      </c>
      <c r="L76" s="34" t="str">
        <f t="shared" si="3"/>
        <v>4101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123">
        <v>46237.0</v>
      </c>
      <c r="B77" s="124" t="s">
        <v>199</v>
      </c>
      <c r="C77" s="125" t="s">
        <v>200</v>
      </c>
      <c r="D77" s="126" t="s">
        <v>80</v>
      </c>
      <c r="E77" s="73" t="str">
        <f>IFERROR(VLOOKUP(D77,'Daftar Akun'!A$6:$B$103,2,FALSE),"")</f>
        <v>Penjualan</v>
      </c>
      <c r="F77" s="128"/>
      <c r="G77" s="127">
        <v>645000.0</v>
      </c>
      <c r="H77" s="34"/>
      <c r="I77" s="68">
        <f t="shared" si="1"/>
        <v>8</v>
      </c>
      <c r="J77" s="68" t="str">
        <f t="shared" si="2"/>
        <v>4101-8</v>
      </c>
      <c r="K77" s="71" t="str">
        <f>E76</f>
        <v>Piutang Dagang</v>
      </c>
      <c r="L77" s="34" t="str">
        <f t="shared" si="3"/>
        <v>1103</v>
      </c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118">
        <v>46237.0</v>
      </c>
      <c r="B78" s="119" t="s">
        <v>201</v>
      </c>
      <c r="C78" s="120" t="s">
        <v>202</v>
      </c>
      <c r="D78" s="121" t="s">
        <v>36</v>
      </c>
      <c r="E78" s="43" t="str">
        <f>IFERROR(VLOOKUP(D78,'Daftar Akun'!A$6:$B$103,2,FALSE),"")</f>
        <v>Piutang Dagang</v>
      </c>
      <c r="F78" s="122">
        <v>682250.0</v>
      </c>
      <c r="G78" s="129"/>
      <c r="H78" s="34"/>
      <c r="I78" s="68">
        <f t="shared" si="1"/>
        <v>7</v>
      </c>
      <c r="J78" s="68" t="str">
        <f t="shared" si="2"/>
        <v>1103-7</v>
      </c>
      <c r="K78" s="71" t="str">
        <f>E79</f>
        <v>Penjualan</v>
      </c>
      <c r="L78" s="34" t="str">
        <f t="shared" si="3"/>
        <v>4101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118">
        <v>46237.0</v>
      </c>
      <c r="B79" s="119" t="s">
        <v>201</v>
      </c>
      <c r="C79" s="120" t="s">
        <v>202</v>
      </c>
      <c r="D79" s="121" t="s">
        <v>80</v>
      </c>
      <c r="E79" s="43" t="str">
        <f>IFERROR(VLOOKUP(D79,'Daftar Akun'!A$6:$B$103,2,FALSE),"")</f>
        <v>Penjualan</v>
      </c>
      <c r="F79" s="129"/>
      <c r="G79" s="122">
        <v>682250.0</v>
      </c>
      <c r="H79" s="34"/>
      <c r="I79" s="68">
        <f t="shared" si="1"/>
        <v>9</v>
      </c>
      <c r="J79" s="68" t="str">
        <f t="shared" si="2"/>
        <v>4101-9</v>
      </c>
      <c r="K79" s="71" t="str">
        <f>E78</f>
        <v>Piutang Dagang</v>
      </c>
      <c r="L79" s="34" t="str">
        <f t="shared" si="3"/>
        <v>1103</v>
      </c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123">
        <v>46237.0</v>
      </c>
      <c r="B80" s="130"/>
      <c r="C80" s="125" t="s">
        <v>203</v>
      </c>
      <c r="D80" s="126" t="s">
        <v>93</v>
      </c>
      <c r="E80" s="73" t="str">
        <f>IFERROR(VLOOKUP(D80,'Daftar Akun'!A$6:$B$103,2,FALSE),"")</f>
        <v>Pembelian Bunga</v>
      </c>
      <c r="F80" s="127">
        <v>390000.0</v>
      </c>
      <c r="G80" s="128"/>
      <c r="H80" s="34"/>
      <c r="I80" s="68">
        <f t="shared" si="1"/>
        <v>16</v>
      </c>
      <c r="J80" s="68" t="str">
        <f t="shared" si="2"/>
        <v>5101-16</v>
      </c>
      <c r="K80" s="71" t="str">
        <f>E81</f>
        <v>Bank</v>
      </c>
      <c r="L80" s="34" t="str">
        <f t="shared" si="3"/>
        <v>1102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123">
        <v>46237.0</v>
      </c>
      <c r="B81" s="130"/>
      <c r="C81" s="125" t="s">
        <v>203</v>
      </c>
      <c r="D81" s="126" t="s">
        <v>33</v>
      </c>
      <c r="E81" s="73" t="str">
        <f>IFERROR(VLOOKUP(D81,'Daftar Akun'!A$6:$B$103,2,FALSE),"")</f>
        <v>Bank</v>
      </c>
      <c r="F81" s="128"/>
      <c r="G81" s="127">
        <v>390000.0</v>
      </c>
      <c r="H81" s="34"/>
      <c r="I81" s="68">
        <f t="shared" si="1"/>
        <v>22</v>
      </c>
      <c r="J81" s="68" t="str">
        <f t="shared" si="2"/>
        <v>1102-22</v>
      </c>
      <c r="K81" s="71" t="str">
        <f>E80</f>
        <v>Pembelian Bunga</v>
      </c>
      <c r="L81" s="34" t="str">
        <f t="shared" si="3"/>
        <v>5101</v>
      </c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118">
        <v>46238.0</v>
      </c>
      <c r="B82" s="119" t="s">
        <v>204</v>
      </c>
      <c r="C82" s="120" t="s">
        <v>205</v>
      </c>
      <c r="D82" s="121" t="s">
        <v>93</v>
      </c>
      <c r="E82" s="43" t="str">
        <f>IFERROR(VLOOKUP(D82,'Daftar Akun'!A$6:$B$103,2,FALSE),"")</f>
        <v>Pembelian Bunga</v>
      </c>
      <c r="F82" s="122">
        <v>930000.0</v>
      </c>
      <c r="G82" s="129"/>
      <c r="H82" s="34"/>
      <c r="I82" s="68">
        <f t="shared" si="1"/>
        <v>17</v>
      </c>
      <c r="J82" s="68" t="str">
        <f t="shared" si="2"/>
        <v>5101-17</v>
      </c>
      <c r="K82" s="71" t="str">
        <f>E83</f>
        <v>Bank</v>
      </c>
      <c r="L82" s="34" t="str">
        <f t="shared" si="3"/>
        <v>1102</v>
      </c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118">
        <v>46238.0</v>
      </c>
      <c r="B83" s="119" t="s">
        <v>204</v>
      </c>
      <c r="C83" s="120" t="s">
        <v>205</v>
      </c>
      <c r="D83" s="121" t="s">
        <v>33</v>
      </c>
      <c r="E83" s="43" t="str">
        <f>IFERROR(VLOOKUP(D83,'Daftar Akun'!A$6:$B$103,2,FALSE),"")</f>
        <v>Bank</v>
      </c>
      <c r="F83" s="129"/>
      <c r="G83" s="122">
        <v>930000.0</v>
      </c>
      <c r="H83" s="34"/>
      <c r="I83" s="68">
        <f t="shared" si="1"/>
        <v>23</v>
      </c>
      <c r="J83" s="68" t="str">
        <f t="shared" si="2"/>
        <v>1102-23</v>
      </c>
      <c r="K83" s="71" t="str">
        <f>E82</f>
        <v>Pembelian Bunga</v>
      </c>
      <c r="L83" s="34" t="str">
        <f t="shared" si="3"/>
        <v>5101</v>
      </c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123">
        <v>46238.0</v>
      </c>
      <c r="B84" s="130"/>
      <c r="C84" s="125" t="s">
        <v>207</v>
      </c>
      <c r="D84" s="126" t="s">
        <v>100</v>
      </c>
      <c r="E84" s="73" t="str">
        <f>IFERROR(VLOOKUP(D84,'Daftar Akun'!A$6:$B$103,2,FALSE),"")</f>
        <v>Beban Angkut Pembelian</v>
      </c>
      <c r="F84" s="127">
        <v>87500.0</v>
      </c>
      <c r="G84" s="128"/>
      <c r="H84" s="34"/>
      <c r="I84" s="68">
        <f t="shared" si="1"/>
        <v>2</v>
      </c>
      <c r="J84" s="68" t="str">
        <f t="shared" si="2"/>
        <v>5103-2</v>
      </c>
      <c r="K84" s="71" t="str">
        <f>E85</f>
        <v>Bank</v>
      </c>
      <c r="L84" s="34" t="str">
        <f t="shared" si="3"/>
        <v>1102</v>
      </c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123">
        <v>46238.0</v>
      </c>
      <c r="B85" s="130"/>
      <c r="C85" s="125" t="s">
        <v>207</v>
      </c>
      <c r="D85" s="126" t="s">
        <v>33</v>
      </c>
      <c r="E85" s="73" t="str">
        <f>IFERROR(VLOOKUP(D85,'Daftar Akun'!A$6:$B$103,2,FALSE),"")</f>
        <v>Bank</v>
      </c>
      <c r="F85" s="128"/>
      <c r="G85" s="127">
        <v>87500.0</v>
      </c>
      <c r="H85" s="34"/>
      <c r="I85" s="68">
        <f t="shared" si="1"/>
        <v>24</v>
      </c>
      <c r="J85" s="68" t="str">
        <f t="shared" si="2"/>
        <v>1102-24</v>
      </c>
      <c r="K85" s="71" t="str">
        <f>E84</f>
        <v>Beban Angkut Pembelian</v>
      </c>
      <c r="L85" s="34" t="str">
        <f t="shared" si="3"/>
        <v>5103</v>
      </c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118">
        <v>46238.0</v>
      </c>
      <c r="B86" s="119" t="s">
        <v>208</v>
      </c>
      <c r="C86" s="120" t="s">
        <v>162</v>
      </c>
      <c r="D86" s="121" t="s">
        <v>93</v>
      </c>
      <c r="E86" s="43" t="str">
        <f>IFERROR(VLOOKUP(D86,'Daftar Akun'!A$6:$B$103,2,FALSE),"")</f>
        <v>Pembelian Bunga</v>
      </c>
      <c r="F86" s="122">
        <v>245000.0</v>
      </c>
      <c r="G86" s="129"/>
      <c r="H86" s="34"/>
      <c r="I86" s="68">
        <f t="shared" si="1"/>
        <v>18</v>
      </c>
      <c r="J86" s="68" t="str">
        <f t="shared" si="2"/>
        <v>5101-18</v>
      </c>
      <c r="K86" s="71" t="str">
        <f>E87</f>
        <v>Kas</v>
      </c>
      <c r="L86" s="34" t="str">
        <f t="shared" si="3"/>
        <v>1101</v>
      </c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118">
        <v>46238.0</v>
      </c>
      <c r="B87" s="119" t="s">
        <v>208</v>
      </c>
      <c r="C87" s="120" t="s">
        <v>162</v>
      </c>
      <c r="D87" s="121" t="s">
        <v>18</v>
      </c>
      <c r="E87" s="43" t="str">
        <f>IFERROR(VLOOKUP(D87,'Daftar Akun'!A$6:$B$103,2,FALSE),"")</f>
        <v>Kas</v>
      </c>
      <c r="F87" s="129"/>
      <c r="G87" s="122">
        <v>245000.0</v>
      </c>
      <c r="H87" s="34"/>
      <c r="I87" s="68">
        <f t="shared" si="1"/>
        <v>11</v>
      </c>
      <c r="J87" s="68" t="str">
        <f t="shared" si="2"/>
        <v>1101-11</v>
      </c>
      <c r="K87" s="71" t="str">
        <f>E86</f>
        <v>Pembelian Bunga</v>
      </c>
      <c r="L87" s="34" t="str">
        <f t="shared" si="3"/>
        <v>5101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123">
        <v>46238.0</v>
      </c>
      <c r="B88" s="124" t="s">
        <v>209</v>
      </c>
      <c r="C88" s="125" t="s">
        <v>210</v>
      </c>
      <c r="D88" s="126" t="s">
        <v>121</v>
      </c>
      <c r="E88" s="73" t="str">
        <f>IFERROR(VLOOKUP(D88,'Daftar Akun'!A$6:$B$103,2,FALSE),"")</f>
        <v>Beban Lain-Lain</v>
      </c>
      <c r="F88" s="127">
        <v>36000.0</v>
      </c>
      <c r="G88" s="128"/>
      <c r="H88" s="34"/>
      <c r="I88" s="68">
        <f t="shared" si="1"/>
        <v>2</v>
      </c>
      <c r="J88" s="68" t="str">
        <f t="shared" si="2"/>
        <v>6108-2</v>
      </c>
      <c r="K88" s="71" t="str">
        <f>E89</f>
        <v>Kas</v>
      </c>
      <c r="L88" s="34" t="str">
        <f t="shared" si="3"/>
        <v>1101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123">
        <v>46238.0</v>
      </c>
      <c r="B89" s="124" t="s">
        <v>209</v>
      </c>
      <c r="C89" s="125" t="s">
        <v>210</v>
      </c>
      <c r="D89" s="126" t="s">
        <v>18</v>
      </c>
      <c r="E89" s="73" t="str">
        <f>IFERROR(VLOOKUP(D89,'Daftar Akun'!A$6:$B$103,2,FALSE),"")</f>
        <v>Kas</v>
      </c>
      <c r="F89" s="128"/>
      <c r="G89" s="127">
        <v>36000.0</v>
      </c>
      <c r="H89" s="34"/>
      <c r="I89" s="68">
        <f t="shared" si="1"/>
        <v>12</v>
      </c>
      <c r="J89" s="68" t="str">
        <f t="shared" si="2"/>
        <v>1101-12</v>
      </c>
      <c r="K89" s="71" t="str">
        <f>E88</f>
        <v>Beban Lain-Lain</v>
      </c>
      <c r="L89" s="34" t="str">
        <f t="shared" si="3"/>
        <v>6108</v>
      </c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118">
        <v>46238.0</v>
      </c>
      <c r="B90" s="119" t="s">
        <v>212</v>
      </c>
      <c r="C90" s="120" t="s">
        <v>213</v>
      </c>
      <c r="D90" s="121" t="s">
        <v>121</v>
      </c>
      <c r="E90" s="43" t="str">
        <f>IFERROR(VLOOKUP(D90,'Daftar Akun'!A$6:$B$103,2,FALSE),"")</f>
        <v>Beban Lain-Lain</v>
      </c>
      <c r="F90" s="122">
        <v>30000.0</v>
      </c>
      <c r="G90" s="129"/>
      <c r="H90" s="34"/>
      <c r="I90" s="68">
        <f t="shared" si="1"/>
        <v>3</v>
      </c>
      <c r="J90" s="68" t="str">
        <f t="shared" si="2"/>
        <v>6108-3</v>
      </c>
      <c r="K90" s="71" t="str">
        <f>E91</f>
        <v>Kas</v>
      </c>
      <c r="L90" s="34" t="str">
        <f t="shared" si="3"/>
        <v>1101</v>
      </c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118">
        <v>46238.0</v>
      </c>
      <c r="B91" s="119" t="s">
        <v>212</v>
      </c>
      <c r="C91" s="120" t="s">
        <v>213</v>
      </c>
      <c r="D91" s="121" t="s">
        <v>18</v>
      </c>
      <c r="E91" s="43" t="str">
        <f>IFERROR(VLOOKUP(D91,'Daftar Akun'!A$6:$B$103,2,FALSE),"")</f>
        <v>Kas</v>
      </c>
      <c r="F91" s="129"/>
      <c r="G91" s="122">
        <v>30000.0</v>
      </c>
      <c r="H91" s="34"/>
      <c r="I91" s="68">
        <f t="shared" si="1"/>
        <v>13</v>
      </c>
      <c r="J91" s="68" t="str">
        <f t="shared" si="2"/>
        <v>1101-13</v>
      </c>
      <c r="K91" s="71" t="str">
        <f>E90</f>
        <v>Beban Lain-Lain</v>
      </c>
      <c r="L91" s="34" t="str">
        <f t="shared" si="3"/>
        <v>6108</v>
      </c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123">
        <v>46238.0</v>
      </c>
      <c r="B92" s="130"/>
      <c r="C92" s="125" t="s">
        <v>215</v>
      </c>
      <c r="D92" s="126" t="s">
        <v>121</v>
      </c>
      <c r="E92" s="73" t="str">
        <f>IFERROR(VLOOKUP(D92,'Daftar Akun'!A$6:$B$103,2,FALSE),"")</f>
        <v>Beban Lain-Lain</v>
      </c>
      <c r="F92" s="127">
        <v>2800.0</v>
      </c>
      <c r="G92" s="128"/>
      <c r="H92" s="34"/>
      <c r="I92" s="68">
        <f t="shared" si="1"/>
        <v>4</v>
      </c>
      <c r="J92" s="68" t="str">
        <f t="shared" si="2"/>
        <v>6108-4</v>
      </c>
      <c r="K92" s="71" t="str">
        <f>E93</f>
        <v>Bank</v>
      </c>
      <c r="L92" s="34" t="str">
        <f t="shared" si="3"/>
        <v>1102</v>
      </c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123">
        <v>46238.0</v>
      </c>
      <c r="B93" s="130"/>
      <c r="C93" s="125" t="s">
        <v>215</v>
      </c>
      <c r="D93" s="126" t="s">
        <v>33</v>
      </c>
      <c r="E93" s="73" t="str">
        <f>IFERROR(VLOOKUP(D93,'Daftar Akun'!A$6:$B$103,2,FALSE),"")</f>
        <v>Bank</v>
      </c>
      <c r="F93" s="128"/>
      <c r="G93" s="127">
        <v>2800.0</v>
      </c>
      <c r="H93" s="34"/>
      <c r="I93" s="68">
        <f t="shared" si="1"/>
        <v>25</v>
      </c>
      <c r="J93" s="68" t="str">
        <f t="shared" si="2"/>
        <v>1102-25</v>
      </c>
      <c r="K93" s="71" t="str">
        <f>E92</f>
        <v>Beban Lain-Lain</v>
      </c>
      <c r="L93" s="34" t="str">
        <f t="shared" si="3"/>
        <v>6108</v>
      </c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118">
        <v>46238.0</v>
      </c>
      <c r="B94" s="119" t="s">
        <v>216</v>
      </c>
      <c r="C94" s="120" t="s">
        <v>195</v>
      </c>
      <c r="D94" s="121" t="s">
        <v>93</v>
      </c>
      <c r="E94" s="43" t="str">
        <f>IFERROR(VLOOKUP(D94,'Daftar Akun'!A$6:$B$103,2,FALSE),"")</f>
        <v>Pembelian Bunga</v>
      </c>
      <c r="F94" s="122">
        <v>136000.0</v>
      </c>
      <c r="G94" s="129"/>
      <c r="H94" s="34"/>
      <c r="I94" s="68">
        <f t="shared" si="1"/>
        <v>19</v>
      </c>
      <c r="J94" s="68" t="str">
        <f t="shared" si="2"/>
        <v>5101-19</v>
      </c>
      <c r="K94" s="71" t="str">
        <f>E95</f>
        <v>Hutang Dagang</v>
      </c>
      <c r="L94" s="34" t="str">
        <f t="shared" si="3"/>
        <v>2101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118">
        <v>46238.0</v>
      </c>
      <c r="B95" s="119" t="s">
        <v>216</v>
      </c>
      <c r="C95" s="120" t="s">
        <v>195</v>
      </c>
      <c r="D95" s="121" t="s">
        <v>67</v>
      </c>
      <c r="E95" s="43" t="str">
        <f>IFERROR(VLOOKUP(D95,'Daftar Akun'!A$6:$B$103,2,FALSE),"")</f>
        <v>Hutang Dagang</v>
      </c>
      <c r="F95" s="129"/>
      <c r="G95" s="122">
        <v>136000.0</v>
      </c>
      <c r="H95" s="34"/>
      <c r="I95" s="68">
        <f t="shared" si="1"/>
        <v>2</v>
      </c>
      <c r="J95" s="68" t="str">
        <f t="shared" si="2"/>
        <v>2101-2</v>
      </c>
      <c r="K95" s="71" t="str">
        <f>E94</f>
        <v>Pembelian Bunga</v>
      </c>
      <c r="L95" s="34" t="str">
        <f t="shared" si="3"/>
        <v>5101</v>
      </c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123">
        <v>46238.0</v>
      </c>
      <c r="B96" s="130"/>
      <c r="C96" s="125" t="s">
        <v>217</v>
      </c>
      <c r="D96" s="126" t="s">
        <v>51</v>
      </c>
      <c r="E96" s="73" t="str">
        <f>IFERROR(VLOOKUP(D96,'Daftar Akun'!A$6:$B$103,2,FALSE),"")</f>
        <v>Piutang Ongkir</v>
      </c>
      <c r="F96" s="127">
        <v>1412159.0</v>
      </c>
      <c r="G96" s="128"/>
      <c r="H96" s="34"/>
      <c r="I96" s="68">
        <f t="shared" si="1"/>
        <v>6</v>
      </c>
      <c r="J96" s="68" t="str">
        <f t="shared" si="2"/>
        <v>1107-6</v>
      </c>
      <c r="K96" s="71" t="str">
        <f>E97</f>
        <v>Bank</v>
      </c>
      <c r="L96" s="34" t="str">
        <f t="shared" si="3"/>
        <v>1102</v>
      </c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123">
        <v>46238.0</v>
      </c>
      <c r="B97" s="130"/>
      <c r="C97" s="125" t="s">
        <v>217</v>
      </c>
      <c r="D97" s="126" t="s">
        <v>33</v>
      </c>
      <c r="E97" s="73" t="str">
        <f>IFERROR(VLOOKUP(D97,'Daftar Akun'!A$6:$B$103,2,FALSE),"")</f>
        <v>Bank</v>
      </c>
      <c r="F97" s="128"/>
      <c r="G97" s="127">
        <v>1412159.0</v>
      </c>
      <c r="H97" s="34"/>
      <c r="I97" s="68">
        <f t="shared" si="1"/>
        <v>26</v>
      </c>
      <c r="J97" s="68" t="str">
        <f t="shared" si="2"/>
        <v>1102-26</v>
      </c>
      <c r="K97" s="71" t="str">
        <f>E96</f>
        <v>Piutang Ongkir</v>
      </c>
      <c r="L97" s="34" t="str">
        <f t="shared" si="3"/>
        <v>1107</v>
      </c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118">
        <v>46238.0</v>
      </c>
      <c r="B98" s="131"/>
      <c r="C98" s="120" t="s">
        <v>218</v>
      </c>
      <c r="D98" s="121" t="s">
        <v>33</v>
      </c>
      <c r="E98" s="43" t="str">
        <f>IFERROR(VLOOKUP(D98,'Daftar Akun'!A$6:$B$103,2,FALSE),"")</f>
        <v>Bank</v>
      </c>
      <c r="F98" s="122">
        <v>1327250.0</v>
      </c>
      <c r="G98" s="129"/>
      <c r="H98" s="34"/>
      <c r="I98" s="68">
        <f t="shared" si="1"/>
        <v>27</v>
      </c>
      <c r="J98" s="68" t="str">
        <f t="shared" si="2"/>
        <v>1102-27</v>
      </c>
      <c r="K98" s="71" t="str">
        <f>E99</f>
        <v>Piutang Dagang</v>
      </c>
      <c r="L98" s="34" t="str">
        <f t="shared" si="3"/>
        <v>1103</v>
      </c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118">
        <v>46238.0</v>
      </c>
      <c r="B99" s="131"/>
      <c r="C99" s="120" t="s">
        <v>218</v>
      </c>
      <c r="D99" s="121" t="s">
        <v>36</v>
      </c>
      <c r="E99" s="43" t="str">
        <f>IFERROR(VLOOKUP(D99,'Daftar Akun'!A$6:$B$103,2,FALSE),"")</f>
        <v>Piutang Dagang</v>
      </c>
      <c r="F99" s="129"/>
      <c r="G99" s="122">
        <v>1327250.0</v>
      </c>
      <c r="H99" s="34"/>
      <c r="I99" s="68">
        <f t="shared" si="1"/>
        <v>8</v>
      </c>
      <c r="J99" s="68" t="str">
        <f t="shared" si="2"/>
        <v>1103-8</v>
      </c>
      <c r="K99" s="71" t="str">
        <f>E98</f>
        <v>Bank</v>
      </c>
      <c r="L99" s="34" t="str">
        <f t="shared" si="3"/>
        <v>1102</v>
      </c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123">
        <v>46238.0</v>
      </c>
      <c r="B100" s="130"/>
      <c r="C100" s="125" t="s">
        <v>159</v>
      </c>
      <c r="D100" s="126" t="s">
        <v>33</v>
      </c>
      <c r="E100" s="73" t="str">
        <f>IFERROR(VLOOKUP(D100,'Daftar Akun'!A$6:$B$103,2,FALSE),"")</f>
        <v>Bank</v>
      </c>
      <c r="F100" s="127">
        <v>1412159.0</v>
      </c>
      <c r="G100" s="128"/>
      <c r="H100" s="34"/>
      <c r="I100" s="68">
        <f t="shared" si="1"/>
        <v>28</v>
      </c>
      <c r="J100" s="68" t="str">
        <f t="shared" si="2"/>
        <v>1102-28</v>
      </c>
      <c r="K100" s="71" t="str">
        <f>E101</f>
        <v>Piutang Ongkir</v>
      </c>
      <c r="L100" s="34" t="str">
        <f t="shared" si="3"/>
        <v>1107</v>
      </c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123">
        <v>46238.0</v>
      </c>
      <c r="B101" s="130"/>
      <c r="C101" s="125" t="s">
        <v>159</v>
      </c>
      <c r="D101" s="126" t="s">
        <v>51</v>
      </c>
      <c r="E101" s="73" t="str">
        <f>IFERROR(VLOOKUP(D101,'Daftar Akun'!A$6:$B$103,2,FALSE),"")</f>
        <v>Piutang Ongkir</v>
      </c>
      <c r="F101" s="128"/>
      <c r="G101" s="127">
        <v>1412159.0</v>
      </c>
      <c r="H101" s="34"/>
      <c r="I101" s="68">
        <f t="shared" si="1"/>
        <v>7</v>
      </c>
      <c r="J101" s="68" t="str">
        <f t="shared" si="2"/>
        <v>1107-7</v>
      </c>
      <c r="K101" s="71" t="str">
        <f>E100</f>
        <v>Bank</v>
      </c>
      <c r="L101" s="34" t="str">
        <f t="shared" si="3"/>
        <v>1102</v>
      </c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118">
        <v>46238.0</v>
      </c>
      <c r="B102" s="119" t="s">
        <v>219</v>
      </c>
      <c r="C102" s="120" t="s">
        <v>220</v>
      </c>
      <c r="D102" s="121" t="s">
        <v>36</v>
      </c>
      <c r="E102" s="43" t="str">
        <f>IFERROR(VLOOKUP(D102,'Daftar Akun'!A$6:$B$103,2,FALSE),"")</f>
        <v>Piutang Dagang</v>
      </c>
      <c r="F102" s="122">
        <v>3100000.0</v>
      </c>
      <c r="G102" s="129"/>
      <c r="H102" s="34"/>
      <c r="I102" s="68">
        <f t="shared" si="1"/>
        <v>9</v>
      </c>
      <c r="J102" s="68" t="str">
        <f t="shared" si="2"/>
        <v>1103-9</v>
      </c>
      <c r="K102" s="71" t="str">
        <f>E103</f>
        <v>Penjualan</v>
      </c>
      <c r="L102" s="34" t="str">
        <f t="shared" si="3"/>
        <v>4101</v>
      </c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118">
        <v>46238.0</v>
      </c>
      <c r="B103" s="119" t="s">
        <v>219</v>
      </c>
      <c r="C103" s="120" t="s">
        <v>220</v>
      </c>
      <c r="D103" s="121" t="s">
        <v>80</v>
      </c>
      <c r="E103" s="43" t="str">
        <f>IFERROR(VLOOKUP(D103,'Daftar Akun'!A$6:$B$103,2,FALSE),"")</f>
        <v>Penjualan</v>
      </c>
      <c r="F103" s="129"/>
      <c r="G103" s="122">
        <v>3100000.0</v>
      </c>
      <c r="H103" s="34"/>
      <c r="I103" s="68">
        <f t="shared" si="1"/>
        <v>10</v>
      </c>
      <c r="J103" s="68" t="str">
        <f t="shared" si="2"/>
        <v>4101-10</v>
      </c>
      <c r="K103" s="71" t="str">
        <f>E102</f>
        <v>Piutang Dagang</v>
      </c>
      <c r="L103" s="34" t="str">
        <f t="shared" si="3"/>
        <v>1103</v>
      </c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123">
        <v>46238.0</v>
      </c>
      <c r="B104" s="124" t="s">
        <v>221</v>
      </c>
      <c r="C104" s="125" t="s">
        <v>222</v>
      </c>
      <c r="D104" s="126" t="s">
        <v>36</v>
      </c>
      <c r="E104" s="73" t="str">
        <f>IFERROR(VLOOKUP(D104,'Daftar Akun'!A$6:$B$103,2,FALSE),"")</f>
        <v>Piutang Dagang</v>
      </c>
      <c r="F104" s="127">
        <v>270000.0</v>
      </c>
      <c r="G104" s="128"/>
      <c r="H104" s="34"/>
      <c r="I104" s="68">
        <f t="shared" si="1"/>
        <v>10</v>
      </c>
      <c r="J104" s="68" t="str">
        <f t="shared" si="2"/>
        <v>1103-10</v>
      </c>
      <c r="K104" s="71" t="str">
        <f>E105</f>
        <v>Penjualan</v>
      </c>
      <c r="L104" s="34" t="str">
        <f t="shared" si="3"/>
        <v>4101</v>
      </c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123">
        <v>46238.0</v>
      </c>
      <c r="B105" s="124" t="s">
        <v>221</v>
      </c>
      <c r="C105" s="125" t="s">
        <v>222</v>
      </c>
      <c r="D105" s="126" t="s">
        <v>80</v>
      </c>
      <c r="E105" s="73" t="str">
        <f>IFERROR(VLOOKUP(D105,'Daftar Akun'!A$6:$B$103,2,FALSE),"")</f>
        <v>Penjualan</v>
      </c>
      <c r="F105" s="128"/>
      <c r="G105" s="127">
        <v>270000.0</v>
      </c>
      <c r="H105" s="34"/>
      <c r="I105" s="68">
        <f t="shared" si="1"/>
        <v>11</v>
      </c>
      <c r="J105" s="68" t="str">
        <f t="shared" si="2"/>
        <v>4101-11</v>
      </c>
      <c r="K105" s="71" t="str">
        <f>E104</f>
        <v>Piutang Dagang</v>
      </c>
      <c r="L105" s="34" t="str">
        <f t="shared" si="3"/>
        <v>1103</v>
      </c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118">
        <v>46238.0</v>
      </c>
      <c r="B106" s="119" t="s">
        <v>223</v>
      </c>
      <c r="C106" s="120" t="s">
        <v>172</v>
      </c>
      <c r="D106" s="121" t="s">
        <v>36</v>
      </c>
      <c r="E106" s="43" t="str">
        <f>IFERROR(VLOOKUP(D106,'Daftar Akun'!A$6:$B$103,2,FALSE),"")</f>
        <v>Piutang Dagang</v>
      </c>
      <c r="F106" s="122">
        <v>705000.0</v>
      </c>
      <c r="G106" s="129"/>
      <c r="H106" s="34"/>
      <c r="I106" s="68">
        <f t="shared" si="1"/>
        <v>11</v>
      </c>
      <c r="J106" s="68" t="str">
        <f t="shared" si="2"/>
        <v>1103-11</v>
      </c>
      <c r="K106" s="71" t="str">
        <f>E107</f>
        <v>Penjualan</v>
      </c>
      <c r="L106" s="34" t="str">
        <f t="shared" si="3"/>
        <v>4101</v>
      </c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118">
        <v>46238.0</v>
      </c>
      <c r="B107" s="119" t="s">
        <v>223</v>
      </c>
      <c r="C107" s="120" t="s">
        <v>172</v>
      </c>
      <c r="D107" s="121" t="s">
        <v>80</v>
      </c>
      <c r="E107" s="43" t="str">
        <f>IFERROR(VLOOKUP(D107,'Daftar Akun'!A$6:$B$103,2,FALSE),"")</f>
        <v>Penjualan</v>
      </c>
      <c r="F107" s="129"/>
      <c r="G107" s="122">
        <v>705000.0</v>
      </c>
      <c r="H107" s="34"/>
      <c r="I107" s="68">
        <f t="shared" si="1"/>
        <v>12</v>
      </c>
      <c r="J107" s="68" t="str">
        <f t="shared" si="2"/>
        <v>4101-12</v>
      </c>
      <c r="K107" s="71" t="str">
        <f>E106</f>
        <v>Piutang Dagang</v>
      </c>
      <c r="L107" s="34" t="str">
        <f t="shared" si="3"/>
        <v>1103</v>
      </c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123">
        <v>46238.0</v>
      </c>
      <c r="B108" s="130"/>
      <c r="C108" s="125" t="s">
        <v>224</v>
      </c>
      <c r="D108" s="126" t="s">
        <v>93</v>
      </c>
      <c r="E108" s="73" t="str">
        <f>IFERROR(VLOOKUP(D108,'Daftar Akun'!A$6:$B$103,2,FALSE),"")</f>
        <v>Pembelian Bunga</v>
      </c>
      <c r="F108" s="127">
        <v>300000.0</v>
      </c>
      <c r="G108" s="128"/>
      <c r="H108" s="34"/>
      <c r="I108" s="68">
        <f t="shared" si="1"/>
        <v>20</v>
      </c>
      <c r="J108" s="68" t="str">
        <f t="shared" si="2"/>
        <v>5101-20</v>
      </c>
      <c r="K108" s="71" t="str">
        <f>E109</f>
        <v>Bank</v>
      </c>
      <c r="L108" s="34" t="str">
        <f t="shared" si="3"/>
        <v>1102</v>
      </c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123">
        <v>46238.0</v>
      </c>
      <c r="B109" s="130"/>
      <c r="C109" s="125" t="s">
        <v>224</v>
      </c>
      <c r="D109" s="126" t="s">
        <v>33</v>
      </c>
      <c r="E109" s="73" t="str">
        <f>IFERROR(VLOOKUP(D109,'Daftar Akun'!A$6:$B$103,2,FALSE),"")</f>
        <v>Bank</v>
      </c>
      <c r="F109" s="128"/>
      <c r="G109" s="127">
        <v>300000.0</v>
      </c>
      <c r="H109" s="34"/>
      <c r="I109" s="68">
        <f t="shared" si="1"/>
        <v>29</v>
      </c>
      <c r="J109" s="68" t="str">
        <f t="shared" si="2"/>
        <v>1102-29</v>
      </c>
      <c r="K109" s="71" t="str">
        <f>E108</f>
        <v>Pembelian Bunga</v>
      </c>
      <c r="L109" s="34" t="str">
        <f t="shared" si="3"/>
        <v>5101</v>
      </c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118">
        <v>46238.0</v>
      </c>
      <c r="B110" s="119" t="s">
        <v>225</v>
      </c>
      <c r="C110" s="120" t="s">
        <v>198</v>
      </c>
      <c r="D110" s="121" t="s">
        <v>36</v>
      </c>
      <c r="E110" s="43" t="str">
        <f>IFERROR(VLOOKUP(D110,'Daftar Akun'!A$6:$B$103,2,FALSE),"")</f>
        <v>Piutang Dagang</v>
      </c>
      <c r="F110" s="122">
        <v>540000.0</v>
      </c>
      <c r="G110" s="129"/>
      <c r="H110" s="34"/>
      <c r="I110" s="68">
        <f t="shared" si="1"/>
        <v>12</v>
      </c>
      <c r="J110" s="68" t="str">
        <f t="shared" si="2"/>
        <v>1103-12</v>
      </c>
      <c r="K110" s="71" t="str">
        <f>E111</f>
        <v>Penjualan</v>
      </c>
      <c r="L110" s="34" t="str">
        <f t="shared" si="3"/>
        <v>4101</v>
      </c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118">
        <v>46238.0</v>
      </c>
      <c r="B111" s="119" t="s">
        <v>225</v>
      </c>
      <c r="C111" s="120" t="s">
        <v>198</v>
      </c>
      <c r="D111" s="121" t="s">
        <v>80</v>
      </c>
      <c r="E111" s="43" t="str">
        <f>IFERROR(VLOOKUP(D111,'Daftar Akun'!A$6:$B$103,2,FALSE),"")</f>
        <v>Penjualan</v>
      </c>
      <c r="F111" s="129"/>
      <c r="G111" s="122">
        <v>540000.0</v>
      </c>
      <c r="H111" s="34"/>
      <c r="I111" s="68">
        <f t="shared" si="1"/>
        <v>13</v>
      </c>
      <c r="J111" s="68" t="str">
        <f t="shared" si="2"/>
        <v>4101-13</v>
      </c>
      <c r="K111" s="71" t="str">
        <f>E110</f>
        <v>Piutang Dagang</v>
      </c>
      <c r="L111" s="34" t="str">
        <f t="shared" si="3"/>
        <v>1103</v>
      </c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123">
        <v>46239.0</v>
      </c>
      <c r="B112" s="130"/>
      <c r="C112" s="125" t="s">
        <v>226</v>
      </c>
      <c r="D112" s="126" t="s">
        <v>51</v>
      </c>
      <c r="E112" s="73" t="str">
        <f>IFERROR(VLOOKUP(D112,'Daftar Akun'!A$6:$B$103,2,FALSE),"")</f>
        <v>Piutang Ongkir</v>
      </c>
      <c r="F112" s="127">
        <v>2211476.0</v>
      </c>
      <c r="G112" s="128"/>
      <c r="H112" s="34"/>
      <c r="I112" s="68">
        <f t="shared" si="1"/>
        <v>8</v>
      </c>
      <c r="J112" s="68" t="str">
        <f t="shared" si="2"/>
        <v>1107-8</v>
      </c>
      <c r="K112" s="71" t="str">
        <f>E113</f>
        <v>Bank</v>
      </c>
      <c r="L112" s="34" t="str">
        <f t="shared" si="3"/>
        <v>1102</v>
      </c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123">
        <v>46239.0</v>
      </c>
      <c r="B113" s="130"/>
      <c r="C113" s="125" t="s">
        <v>226</v>
      </c>
      <c r="D113" s="126" t="s">
        <v>33</v>
      </c>
      <c r="E113" s="73" t="str">
        <f>IFERROR(VLOOKUP(D113,'Daftar Akun'!A$6:$B$103,2,FALSE),"")</f>
        <v>Bank</v>
      </c>
      <c r="F113" s="128"/>
      <c r="G113" s="127">
        <v>2211476.0</v>
      </c>
      <c r="H113" s="34"/>
      <c r="I113" s="68">
        <f t="shared" si="1"/>
        <v>30</v>
      </c>
      <c r="J113" s="68" t="str">
        <f t="shared" si="2"/>
        <v>1102-30</v>
      </c>
      <c r="K113" s="71" t="str">
        <f>E112</f>
        <v>Piutang Ongkir</v>
      </c>
      <c r="L113" s="34" t="str">
        <f t="shared" si="3"/>
        <v>1107</v>
      </c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118">
        <v>46239.0</v>
      </c>
      <c r="B114" s="131"/>
      <c r="C114" s="120" t="s">
        <v>227</v>
      </c>
      <c r="D114" s="121" t="s">
        <v>33</v>
      </c>
      <c r="E114" s="43" t="str">
        <f>IFERROR(VLOOKUP(D114,'Daftar Akun'!A$6:$B$103,2,FALSE),"")</f>
        <v>Bank</v>
      </c>
      <c r="F114" s="122">
        <v>4075000.0</v>
      </c>
      <c r="G114" s="129"/>
      <c r="H114" s="34"/>
      <c r="I114" s="68">
        <f t="shared" si="1"/>
        <v>31</v>
      </c>
      <c r="J114" s="68" t="str">
        <f t="shared" si="2"/>
        <v>1102-31</v>
      </c>
      <c r="K114" s="71" t="str">
        <f>E115</f>
        <v>Piutang Dagang</v>
      </c>
      <c r="L114" s="34" t="str">
        <f t="shared" si="3"/>
        <v>1103</v>
      </c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118">
        <v>46239.0</v>
      </c>
      <c r="B115" s="131"/>
      <c r="C115" s="120" t="s">
        <v>227</v>
      </c>
      <c r="D115" s="121" t="s">
        <v>36</v>
      </c>
      <c r="E115" s="43" t="str">
        <f>IFERROR(VLOOKUP(D115,'Daftar Akun'!A$6:$B$103,2,FALSE),"")</f>
        <v>Piutang Dagang</v>
      </c>
      <c r="F115" s="129"/>
      <c r="G115" s="122">
        <v>4075000.0</v>
      </c>
      <c r="H115" s="34"/>
      <c r="I115" s="68">
        <f t="shared" si="1"/>
        <v>13</v>
      </c>
      <c r="J115" s="68" t="str">
        <f t="shared" si="2"/>
        <v>1103-13</v>
      </c>
      <c r="K115" s="71" t="str">
        <f>E114</f>
        <v>Bank</v>
      </c>
      <c r="L115" s="34" t="str">
        <f t="shared" si="3"/>
        <v>1102</v>
      </c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123">
        <v>46239.0</v>
      </c>
      <c r="B116" s="130"/>
      <c r="C116" s="125" t="s">
        <v>228</v>
      </c>
      <c r="D116" s="126" t="s">
        <v>33</v>
      </c>
      <c r="E116" s="73" t="str">
        <f>IFERROR(VLOOKUP(D116,'Daftar Akun'!A$6:$B$103,2,FALSE),"")</f>
        <v>Bank</v>
      </c>
      <c r="F116" s="127">
        <v>2211476.0</v>
      </c>
      <c r="G116" s="128"/>
      <c r="H116" s="34"/>
      <c r="I116" s="68">
        <f t="shared" si="1"/>
        <v>32</v>
      </c>
      <c r="J116" s="68" t="str">
        <f t="shared" si="2"/>
        <v>1102-32</v>
      </c>
      <c r="K116" s="71" t="str">
        <f>E117</f>
        <v>Piutang Ongkir</v>
      </c>
      <c r="L116" s="34" t="str">
        <f t="shared" si="3"/>
        <v>1107</v>
      </c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123">
        <v>46239.0</v>
      </c>
      <c r="B117" s="130"/>
      <c r="C117" s="125" t="s">
        <v>228</v>
      </c>
      <c r="D117" s="126" t="s">
        <v>51</v>
      </c>
      <c r="E117" s="73" t="str">
        <f>IFERROR(VLOOKUP(D117,'Daftar Akun'!A$6:$B$103,2,FALSE),"")</f>
        <v>Piutang Ongkir</v>
      </c>
      <c r="F117" s="128"/>
      <c r="G117" s="127">
        <v>2211476.0</v>
      </c>
      <c r="H117" s="34"/>
      <c r="I117" s="68">
        <f t="shared" si="1"/>
        <v>9</v>
      </c>
      <c r="J117" s="68" t="str">
        <f t="shared" si="2"/>
        <v>1107-9</v>
      </c>
      <c r="K117" s="71" t="str">
        <f>E116</f>
        <v>Bank</v>
      </c>
      <c r="L117" s="34" t="str">
        <f t="shared" si="3"/>
        <v>1102</v>
      </c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118">
        <v>46239.0</v>
      </c>
      <c r="B118" s="119" t="s">
        <v>229</v>
      </c>
      <c r="C118" s="120" t="s">
        <v>162</v>
      </c>
      <c r="D118" s="121" t="s">
        <v>93</v>
      </c>
      <c r="E118" s="43" t="str">
        <f>IFERROR(VLOOKUP(D118,'Daftar Akun'!A$6:$B$103,2,FALSE),"")</f>
        <v>Pembelian Bunga</v>
      </c>
      <c r="F118" s="122">
        <v>250000.0</v>
      </c>
      <c r="G118" s="129"/>
      <c r="H118" s="34"/>
      <c r="I118" s="68">
        <f t="shared" si="1"/>
        <v>21</v>
      </c>
      <c r="J118" s="68" t="str">
        <f t="shared" si="2"/>
        <v>5101-21</v>
      </c>
      <c r="K118" s="71" t="str">
        <f>E119</f>
        <v>Kas</v>
      </c>
      <c r="L118" s="34" t="str">
        <f t="shared" si="3"/>
        <v>1101</v>
      </c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118">
        <v>46239.0</v>
      </c>
      <c r="B119" s="119" t="s">
        <v>229</v>
      </c>
      <c r="C119" s="120" t="s">
        <v>162</v>
      </c>
      <c r="D119" s="121" t="s">
        <v>18</v>
      </c>
      <c r="E119" s="43" t="str">
        <f>IFERROR(VLOOKUP(D119,'Daftar Akun'!A$6:$B$103,2,FALSE),"")</f>
        <v>Kas</v>
      </c>
      <c r="F119" s="129"/>
      <c r="G119" s="122">
        <v>250000.0</v>
      </c>
      <c r="H119" s="34"/>
      <c r="I119" s="68">
        <f t="shared" si="1"/>
        <v>14</v>
      </c>
      <c r="J119" s="68" t="str">
        <f t="shared" si="2"/>
        <v>1101-14</v>
      </c>
      <c r="K119" s="71" t="str">
        <f>E118</f>
        <v>Pembelian Bunga</v>
      </c>
      <c r="L119" s="34" t="str">
        <f t="shared" si="3"/>
        <v>5101</v>
      </c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123">
        <v>46239.0</v>
      </c>
      <c r="B120" s="124" t="s">
        <v>230</v>
      </c>
      <c r="C120" s="125" t="s">
        <v>231</v>
      </c>
      <c r="D120" s="126" t="s">
        <v>93</v>
      </c>
      <c r="E120" s="73" t="str">
        <f>IFERROR(VLOOKUP(D120,'Daftar Akun'!A$6:$B$103,2,FALSE),"")</f>
        <v>Pembelian Bunga</v>
      </c>
      <c r="F120" s="127">
        <v>15000.0</v>
      </c>
      <c r="G120" s="128"/>
      <c r="H120" s="34"/>
      <c r="I120" s="68">
        <f t="shared" si="1"/>
        <v>22</v>
      </c>
      <c r="J120" s="68" t="str">
        <f t="shared" si="2"/>
        <v>5101-22</v>
      </c>
      <c r="K120" s="71" t="str">
        <f>E121</f>
        <v>Kas</v>
      </c>
      <c r="L120" s="34" t="str">
        <f t="shared" si="3"/>
        <v>1101</v>
      </c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123">
        <v>46239.0</v>
      </c>
      <c r="B121" s="124" t="s">
        <v>230</v>
      </c>
      <c r="C121" s="125" t="s">
        <v>231</v>
      </c>
      <c r="D121" s="126" t="s">
        <v>18</v>
      </c>
      <c r="E121" s="73" t="str">
        <f>IFERROR(VLOOKUP(D121,'Daftar Akun'!A$6:$B$103,2,FALSE),"")</f>
        <v>Kas</v>
      </c>
      <c r="F121" s="128"/>
      <c r="G121" s="127">
        <v>15000.0</v>
      </c>
      <c r="H121" s="34"/>
      <c r="I121" s="68">
        <f t="shared" si="1"/>
        <v>15</v>
      </c>
      <c r="J121" s="68" t="str">
        <f t="shared" si="2"/>
        <v>1101-15</v>
      </c>
      <c r="K121" s="71" t="str">
        <f>E120</f>
        <v>Pembelian Bunga</v>
      </c>
      <c r="L121" s="34" t="str">
        <f t="shared" si="3"/>
        <v>5101</v>
      </c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118">
        <v>46239.0</v>
      </c>
      <c r="B122" s="119" t="s">
        <v>232</v>
      </c>
      <c r="C122" s="120" t="s">
        <v>233</v>
      </c>
      <c r="D122" s="121" t="s">
        <v>93</v>
      </c>
      <c r="E122" s="43" t="str">
        <f>IFERROR(VLOOKUP(D122,'Daftar Akun'!A$6:$B$103,2,FALSE),"")</f>
        <v>Pembelian Bunga</v>
      </c>
      <c r="F122" s="122">
        <v>150000.0</v>
      </c>
      <c r="G122" s="129"/>
      <c r="H122" s="34"/>
      <c r="I122" s="68">
        <f t="shared" si="1"/>
        <v>23</v>
      </c>
      <c r="J122" s="68" t="str">
        <f t="shared" si="2"/>
        <v>5101-23</v>
      </c>
      <c r="K122" s="71" t="str">
        <f>E123</f>
        <v>Kas</v>
      </c>
      <c r="L122" s="34" t="str">
        <f t="shared" si="3"/>
        <v>1101</v>
      </c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118">
        <v>46239.0</v>
      </c>
      <c r="B123" s="119" t="s">
        <v>232</v>
      </c>
      <c r="C123" s="120" t="s">
        <v>233</v>
      </c>
      <c r="D123" s="121" t="s">
        <v>18</v>
      </c>
      <c r="E123" s="43" t="str">
        <f>IFERROR(VLOOKUP(D123,'Daftar Akun'!A$6:$B$103,2,FALSE),"")</f>
        <v>Kas</v>
      </c>
      <c r="F123" s="129"/>
      <c r="G123" s="122">
        <v>150000.0</v>
      </c>
      <c r="H123" s="34"/>
      <c r="I123" s="68">
        <f t="shared" si="1"/>
        <v>16</v>
      </c>
      <c r="J123" s="68" t="str">
        <f t="shared" si="2"/>
        <v>1101-16</v>
      </c>
      <c r="K123" s="71" t="str">
        <f>E122</f>
        <v>Pembelian Bunga</v>
      </c>
      <c r="L123" s="34" t="str">
        <f t="shared" si="3"/>
        <v>5101</v>
      </c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123">
        <v>46239.0</v>
      </c>
      <c r="B124" s="130"/>
      <c r="C124" s="125" t="s">
        <v>234</v>
      </c>
      <c r="D124" s="126" t="s">
        <v>93</v>
      </c>
      <c r="E124" s="73" t="str">
        <f>IFERROR(VLOOKUP(D124,'Daftar Akun'!A$6:$B$103,2,FALSE),"")</f>
        <v>Pembelian Bunga</v>
      </c>
      <c r="F124" s="127">
        <v>20000.0</v>
      </c>
      <c r="G124" s="128"/>
      <c r="H124" s="34"/>
      <c r="I124" s="68">
        <f t="shared" si="1"/>
        <v>24</v>
      </c>
      <c r="J124" s="68" t="str">
        <f t="shared" si="2"/>
        <v>5101-24</v>
      </c>
      <c r="K124" s="71" t="str">
        <f>E125</f>
        <v>Bank</v>
      </c>
      <c r="L124" s="34" t="str">
        <f t="shared" si="3"/>
        <v>1102</v>
      </c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123">
        <v>46239.0</v>
      </c>
      <c r="B125" s="130"/>
      <c r="C125" s="125" t="s">
        <v>234</v>
      </c>
      <c r="D125" s="126" t="s">
        <v>33</v>
      </c>
      <c r="E125" s="73" t="str">
        <f>IFERROR(VLOOKUP(D125,'Daftar Akun'!A$6:$B$103,2,FALSE),"")</f>
        <v>Bank</v>
      </c>
      <c r="F125" s="128"/>
      <c r="G125" s="127">
        <v>20000.0</v>
      </c>
      <c r="H125" s="34"/>
      <c r="I125" s="68">
        <f t="shared" si="1"/>
        <v>33</v>
      </c>
      <c r="J125" s="68" t="str">
        <f t="shared" si="2"/>
        <v>1102-33</v>
      </c>
      <c r="K125" s="71" t="str">
        <f>E124</f>
        <v>Pembelian Bunga</v>
      </c>
      <c r="L125" s="34" t="str">
        <f t="shared" si="3"/>
        <v>5101</v>
      </c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118">
        <v>46239.0</v>
      </c>
      <c r="B126" s="131"/>
      <c r="C126" s="120" t="s">
        <v>235</v>
      </c>
      <c r="D126" s="121" t="s">
        <v>93</v>
      </c>
      <c r="E126" s="43" t="str">
        <f>IFERROR(VLOOKUP(D126,'Daftar Akun'!A$6:$B$103,2,FALSE),"")</f>
        <v>Pembelian Bunga</v>
      </c>
      <c r="F126" s="122">
        <v>420000.0</v>
      </c>
      <c r="G126" s="129"/>
      <c r="H126" s="34"/>
      <c r="I126" s="68">
        <f t="shared" si="1"/>
        <v>25</v>
      </c>
      <c r="J126" s="68" t="str">
        <f t="shared" si="2"/>
        <v>5101-25</v>
      </c>
      <c r="K126" s="71" t="str">
        <f>E127</f>
        <v>Bank</v>
      </c>
      <c r="L126" s="34" t="str">
        <f t="shared" si="3"/>
        <v>1102</v>
      </c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118">
        <v>46239.0</v>
      </c>
      <c r="B127" s="131"/>
      <c r="C127" s="120" t="s">
        <v>235</v>
      </c>
      <c r="D127" s="121" t="s">
        <v>33</v>
      </c>
      <c r="E127" s="43" t="str">
        <f>IFERROR(VLOOKUP(D127,'Daftar Akun'!A$6:$B$103,2,FALSE),"")</f>
        <v>Bank</v>
      </c>
      <c r="F127" s="129"/>
      <c r="G127" s="122">
        <v>420000.0</v>
      </c>
      <c r="H127" s="34"/>
      <c r="I127" s="68">
        <f t="shared" si="1"/>
        <v>34</v>
      </c>
      <c r="J127" s="68" t="str">
        <f t="shared" si="2"/>
        <v>1102-34</v>
      </c>
      <c r="K127" s="71" t="str">
        <f>E126</f>
        <v>Pembelian Bunga</v>
      </c>
      <c r="L127" s="34" t="str">
        <f t="shared" si="3"/>
        <v>5101</v>
      </c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123">
        <v>46239.0</v>
      </c>
      <c r="B128" s="130"/>
      <c r="C128" s="125" t="s">
        <v>236</v>
      </c>
      <c r="D128" s="126" t="s">
        <v>93</v>
      </c>
      <c r="E128" s="73" t="str">
        <f>IFERROR(VLOOKUP(D128,'Daftar Akun'!A$6:$B$103,2,FALSE),"")</f>
        <v>Pembelian Bunga</v>
      </c>
      <c r="F128" s="127">
        <v>475000.0</v>
      </c>
      <c r="G128" s="128"/>
      <c r="H128" s="34"/>
      <c r="I128" s="68">
        <f t="shared" si="1"/>
        <v>26</v>
      </c>
      <c r="J128" s="68" t="str">
        <f t="shared" si="2"/>
        <v>5101-26</v>
      </c>
      <c r="K128" s="71" t="str">
        <f>E129</f>
        <v>Bank</v>
      </c>
      <c r="L128" s="34" t="str">
        <f t="shared" si="3"/>
        <v>1102</v>
      </c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123">
        <v>46239.0</v>
      </c>
      <c r="B129" s="130"/>
      <c r="C129" s="125" t="s">
        <v>236</v>
      </c>
      <c r="D129" s="126" t="s">
        <v>33</v>
      </c>
      <c r="E129" s="73" t="str">
        <f>IFERROR(VLOOKUP(D129,'Daftar Akun'!A$6:$B$103,2,FALSE),"")</f>
        <v>Bank</v>
      </c>
      <c r="F129" s="128"/>
      <c r="G129" s="127">
        <v>475000.0</v>
      </c>
      <c r="H129" s="34"/>
      <c r="I129" s="68">
        <f t="shared" si="1"/>
        <v>35</v>
      </c>
      <c r="J129" s="68" t="str">
        <f t="shared" si="2"/>
        <v>1102-35</v>
      </c>
      <c r="K129" s="71" t="str">
        <f>E128</f>
        <v>Pembelian Bunga</v>
      </c>
      <c r="L129" s="34" t="str">
        <f t="shared" si="3"/>
        <v>5101</v>
      </c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118">
        <v>46239.0</v>
      </c>
      <c r="B130" s="131"/>
      <c r="C130" s="120" t="s">
        <v>237</v>
      </c>
      <c r="D130" s="121" t="s">
        <v>18</v>
      </c>
      <c r="E130" s="43" t="str">
        <f>IFERROR(VLOOKUP(D130,'Daftar Akun'!A$6:$B$103,2,FALSE),"")</f>
        <v>Kas</v>
      </c>
      <c r="F130" s="122">
        <v>270000.0</v>
      </c>
      <c r="G130" s="129"/>
      <c r="H130" s="34"/>
      <c r="I130" s="68">
        <f t="shared" si="1"/>
        <v>17</v>
      </c>
      <c r="J130" s="68" t="str">
        <f t="shared" si="2"/>
        <v>1101-17</v>
      </c>
      <c r="K130" s="71" t="str">
        <f>E131</f>
        <v>Penjualan</v>
      </c>
      <c r="L130" s="34" t="str">
        <f t="shared" si="3"/>
        <v>4101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118">
        <v>46239.0</v>
      </c>
      <c r="B131" s="131"/>
      <c r="C131" s="120" t="s">
        <v>237</v>
      </c>
      <c r="D131" s="121" t="s">
        <v>80</v>
      </c>
      <c r="E131" s="43" t="str">
        <f>IFERROR(VLOOKUP(D131,'Daftar Akun'!A$6:$B$103,2,FALSE),"")</f>
        <v>Penjualan</v>
      </c>
      <c r="F131" s="129"/>
      <c r="G131" s="122">
        <v>270000.0</v>
      </c>
      <c r="H131" s="34"/>
      <c r="I131" s="68">
        <f t="shared" si="1"/>
        <v>14</v>
      </c>
      <c r="J131" s="68" t="str">
        <f t="shared" si="2"/>
        <v>4101-14</v>
      </c>
      <c r="K131" s="71" t="str">
        <f>E130</f>
        <v>Kas</v>
      </c>
      <c r="L131" s="34" t="str">
        <f t="shared" si="3"/>
        <v>1101</v>
      </c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123">
        <v>46239.0</v>
      </c>
      <c r="B132" s="130"/>
      <c r="C132" s="125" t="s">
        <v>238</v>
      </c>
      <c r="D132" s="126" t="s">
        <v>51</v>
      </c>
      <c r="E132" s="73" t="str">
        <f>IFERROR(VLOOKUP(D132,'Daftar Akun'!A$6:$B$103,2,FALSE),"")</f>
        <v>Piutang Ongkir</v>
      </c>
      <c r="F132" s="127">
        <v>60000.0</v>
      </c>
      <c r="G132" s="128"/>
      <c r="H132" s="34"/>
      <c r="I132" s="68">
        <f t="shared" si="1"/>
        <v>10</v>
      </c>
      <c r="J132" s="68" t="str">
        <f t="shared" si="2"/>
        <v>1107-10</v>
      </c>
      <c r="K132" s="71" t="str">
        <f>E133</f>
        <v>Kas</v>
      </c>
      <c r="L132" s="34" t="str">
        <f t="shared" si="3"/>
        <v>1101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123">
        <v>46239.0</v>
      </c>
      <c r="B133" s="130"/>
      <c r="C133" s="125" t="s">
        <v>238</v>
      </c>
      <c r="D133" s="126" t="s">
        <v>18</v>
      </c>
      <c r="E133" s="73" t="str">
        <f>IFERROR(VLOOKUP(D133,'Daftar Akun'!A$6:$B$103,2,FALSE),"")</f>
        <v>Kas</v>
      </c>
      <c r="F133" s="128"/>
      <c r="G133" s="127">
        <v>60000.0</v>
      </c>
      <c r="H133" s="34"/>
      <c r="I133" s="68">
        <f t="shared" si="1"/>
        <v>18</v>
      </c>
      <c r="J133" s="68" t="str">
        <f t="shared" si="2"/>
        <v>1101-18</v>
      </c>
      <c r="K133" s="71" t="str">
        <f>E132</f>
        <v>Piutang Ongkir</v>
      </c>
      <c r="L133" s="34" t="str">
        <f t="shared" si="3"/>
        <v>1107</v>
      </c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118">
        <v>46239.0</v>
      </c>
      <c r="B134" s="119" t="s">
        <v>239</v>
      </c>
      <c r="C134" s="120" t="s">
        <v>240</v>
      </c>
      <c r="D134" s="121" t="s">
        <v>36</v>
      </c>
      <c r="E134" s="43" t="str">
        <f>IFERROR(VLOOKUP(D134,'Daftar Akun'!A$6:$B$103,2,FALSE),"")</f>
        <v>Piutang Dagang</v>
      </c>
      <c r="F134" s="122">
        <v>985000.0</v>
      </c>
      <c r="G134" s="129"/>
      <c r="H134" s="34"/>
      <c r="I134" s="68">
        <f t="shared" si="1"/>
        <v>14</v>
      </c>
      <c r="J134" s="68" t="str">
        <f t="shared" si="2"/>
        <v>1103-14</v>
      </c>
      <c r="K134" s="71" t="str">
        <f>E135</f>
        <v>Penjualan</v>
      </c>
      <c r="L134" s="34" t="str">
        <f t="shared" si="3"/>
        <v>4101</v>
      </c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118">
        <v>46239.0</v>
      </c>
      <c r="B135" s="119" t="s">
        <v>239</v>
      </c>
      <c r="C135" s="120" t="s">
        <v>240</v>
      </c>
      <c r="D135" s="121" t="s">
        <v>80</v>
      </c>
      <c r="E135" s="43" t="str">
        <f>IFERROR(VLOOKUP(D135,'Daftar Akun'!A$6:$B$103,2,FALSE),"")</f>
        <v>Penjualan</v>
      </c>
      <c r="F135" s="129"/>
      <c r="G135" s="122">
        <v>985000.0</v>
      </c>
      <c r="H135" s="34"/>
      <c r="I135" s="68">
        <f t="shared" si="1"/>
        <v>15</v>
      </c>
      <c r="J135" s="68" t="str">
        <f t="shared" si="2"/>
        <v>4101-15</v>
      </c>
      <c r="K135" s="71" t="str">
        <f>E134</f>
        <v>Piutang Dagang</v>
      </c>
      <c r="L135" s="34" t="str">
        <f t="shared" si="3"/>
        <v>1103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123">
        <v>46239.0</v>
      </c>
      <c r="B136" s="124" t="s">
        <v>241</v>
      </c>
      <c r="C136" s="125" t="s">
        <v>242</v>
      </c>
      <c r="D136" s="126" t="s">
        <v>36</v>
      </c>
      <c r="E136" s="73" t="str">
        <f>IFERROR(VLOOKUP(D136,'Daftar Akun'!A$6:$B$103,2,FALSE),"")</f>
        <v>Piutang Dagang</v>
      </c>
      <c r="F136" s="127">
        <v>1052750.0</v>
      </c>
      <c r="G136" s="128"/>
      <c r="H136" s="34"/>
      <c r="I136" s="68">
        <f t="shared" si="1"/>
        <v>15</v>
      </c>
      <c r="J136" s="68" t="str">
        <f t="shared" si="2"/>
        <v>1103-15</v>
      </c>
      <c r="K136" s="71" t="str">
        <f>E137</f>
        <v>Penjualan</v>
      </c>
      <c r="L136" s="34" t="str">
        <f t="shared" si="3"/>
        <v>4101</v>
      </c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123">
        <v>46239.0</v>
      </c>
      <c r="B137" s="124" t="s">
        <v>241</v>
      </c>
      <c r="C137" s="125" t="s">
        <v>242</v>
      </c>
      <c r="D137" s="126" t="s">
        <v>80</v>
      </c>
      <c r="E137" s="73" t="str">
        <f>IFERROR(VLOOKUP(D137,'Daftar Akun'!A$6:$B$103,2,FALSE),"")</f>
        <v>Penjualan</v>
      </c>
      <c r="F137" s="128"/>
      <c r="G137" s="127">
        <v>1052750.0</v>
      </c>
      <c r="H137" s="34"/>
      <c r="I137" s="68">
        <f t="shared" si="1"/>
        <v>16</v>
      </c>
      <c r="J137" s="68" t="str">
        <f t="shared" si="2"/>
        <v>4101-16</v>
      </c>
      <c r="K137" s="71" t="str">
        <f>E136</f>
        <v>Piutang Dagang</v>
      </c>
      <c r="L137" s="34" t="str">
        <f t="shared" si="3"/>
        <v>1103</v>
      </c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118">
        <v>46239.0</v>
      </c>
      <c r="B138" s="119" t="s">
        <v>243</v>
      </c>
      <c r="C138" s="120" t="s">
        <v>157</v>
      </c>
      <c r="D138" s="121" t="s">
        <v>93</v>
      </c>
      <c r="E138" s="43" t="str">
        <f>IFERROR(VLOOKUP(D138,'Daftar Akun'!A$6:$B$103,2,FALSE),"")</f>
        <v>Pembelian Bunga</v>
      </c>
      <c r="F138" s="122">
        <v>380000.0</v>
      </c>
      <c r="G138" s="129"/>
      <c r="H138" s="34"/>
      <c r="I138" s="68">
        <f t="shared" si="1"/>
        <v>27</v>
      </c>
      <c r="J138" s="68" t="str">
        <f t="shared" si="2"/>
        <v>5101-27</v>
      </c>
      <c r="K138" s="71" t="str">
        <f>E139</f>
        <v>Bank</v>
      </c>
      <c r="L138" s="34" t="str">
        <f t="shared" si="3"/>
        <v>1102</v>
      </c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118">
        <v>46239.0</v>
      </c>
      <c r="B139" s="119" t="s">
        <v>243</v>
      </c>
      <c r="C139" s="120" t="s">
        <v>157</v>
      </c>
      <c r="D139" s="121" t="s">
        <v>33</v>
      </c>
      <c r="E139" s="43" t="str">
        <f>IFERROR(VLOOKUP(D139,'Daftar Akun'!A$6:$B$103,2,FALSE),"")</f>
        <v>Bank</v>
      </c>
      <c r="F139" s="122"/>
      <c r="G139" s="122">
        <v>380000.0</v>
      </c>
      <c r="H139" s="34"/>
      <c r="I139" s="68">
        <f t="shared" si="1"/>
        <v>36</v>
      </c>
      <c r="J139" s="68" t="str">
        <f t="shared" si="2"/>
        <v>1102-36</v>
      </c>
      <c r="K139" s="71" t="str">
        <f>E138</f>
        <v>Pembelian Bunga</v>
      </c>
      <c r="L139" s="34" t="str">
        <f t="shared" si="3"/>
        <v>5101</v>
      </c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123">
        <v>46239.0</v>
      </c>
      <c r="B140" s="124" t="s">
        <v>244</v>
      </c>
      <c r="C140" s="125" t="s">
        <v>195</v>
      </c>
      <c r="D140" s="126" t="s">
        <v>93</v>
      </c>
      <c r="E140" s="73" t="str">
        <f>IFERROR(VLOOKUP(D140,'Daftar Akun'!A$6:$B$103,2,FALSE),"")</f>
        <v>Pembelian Bunga</v>
      </c>
      <c r="F140" s="127">
        <v>68000.0</v>
      </c>
      <c r="G140" s="128"/>
      <c r="H140" s="34"/>
      <c r="I140" s="68">
        <f t="shared" si="1"/>
        <v>28</v>
      </c>
      <c r="J140" s="68" t="str">
        <f t="shared" si="2"/>
        <v>5101-28</v>
      </c>
      <c r="K140" s="71" t="str">
        <f>E141</f>
        <v>Hutang Dagang</v>
      </c>
      <c r="L140" s="34" t="str">
        <f t="shared" si="3"/>
        <v>2101</v>
      </c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123">
        <v>46239.0</v>
      </c>
      <c r="B141" s="124" t="s">
        <v>244</v>
      </c>
      <c r="C141" s="125" t="s">
        <v>195</v>
      </c>
      <c r="D141" s="126" t="s">
        <v>67</v>
      </c>
      <c r="E141" s="73" t="str">
        <f>IFERROR(VLOOKUP(D141,'Daftar Akun'!A$6:$B$103,2,FALSE),"")</f>
        <v>Hutang Dagang</v>
      </c>
      <c r="F141" s="128"/>
      <c r="G141" s="127">
        <v>68000.0</v>
      </c>
      <c r="H141" s="34"/>
      <c r="I141" s="68">
        <f t="shared" si="1"/>
        <v>3</v>
      </c>
      <c r="J141" s="68" t="str">
        <f t="shared" si="2"/>
        <v>2101-3</v>
      </c>
      <c r="K141" s="71" t="str">
        <f>E140</f>
        <v>Pembelian Bunga</v>
      </c>
      <c r="L141" s="34" t="str">
        <f t="shared" si="3"/>
        <v>5101</v>
      </c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118">
        <v>46240.0</v>
      </c>
      <c r="B142" s="131"/>
      <c r="C142" s="120" t="s">
        <v>245</v>
      </c>
      <c r="D142" s="121" t="s">
        <v>51</v>
      </c>
      <c r="E142" s="43" t="str">
        <f>IFERROR(VLOOKUP(D142,'Daftar Akun'!A$6:$B$103,2,FALSE),"")</f>
        <v>Piutang Ongkir</v>
      </c>
      <c r="F142" s="122">
        <v>1018280.0</v>
      </c>
      <c r="G142" s="129"/>
      <c r="H142" s="34"/>
      <c r="I142" s="68">
        <f t="shared" si="1"/>
        <v>11</v>
      </c>
      <c r="J142" s="68" t="str">
        <f t="shared" si="2"/>
        <v>1107-11</v>
      </c>
      <c r="K142" s="71" t="str">
        <f>E143</f>
        <v>Bank</v>
      </c>
      <c r="L142" s="34" t="str">
        <f t="shared" si="3"/>
        <v>1102</v>
      </c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118">
        <v>46240.0</v>
      </c>
      <c r="B143" s="131"/>
      <c r="C143" s="120" t="s">
        <v>245</v>
      </c>
      <c r="D143" s="121" t="s">
        <v>33</v>
      </c>
      <c r="E143" s="43" t="str">
        <f>IFERROR(VLOOKUP(D143,'Daftar Akun'!A$6:$B$103,2,FALSE),"")</f>
        <v>Bank</v>
      </c>
      <c r="F143" s="129"/>
      <c r="G143" s="122">
        <v>1018280.0</v>
      </c>
      <c r="H143" s="34"/>
      <c r="I143" s="68">
        <f t="shared" si="1"/>
        <v>37</v>
      </c>
      <c r="J143" s="68" t="str">
        <f t="shared" si="2"/>
        <v>1102-37</v>
      </c>
      <c r="K143" s="71" t="str">
        <f>E142</f>
        <v>Piutang Ongkir</v>
      </c>
      <c r="L143" s="34" t="str">
        <f t="shared" si="3"/>
        <v>1107</v>
      </c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123">
        <v>46240.0</v>
      </c>
      <c r="B144" s="130"/>
      <c r="C144" s="125" t="s">
        <v>160</v>
      </c>
      <c r="D144" s="126" t="s">
        <v>18</v>
      </c>
      <c r="E144" s="73" t="str">
        <f>IFERROR(VLOOKUP(D144,'Daftar Akun'!A$6:$B$103,2,FALSE),"")</f>
        <v>Kas</v>
      </c>
      <c r="F144" s="127">
        <v>2000000.0</v>
      </c>
      <c r="G144" s="128"/>
      <c r="H144" s="34"/>
      <c r="I144" s="68">
        <f t="shared" si="1"/>
        <v>19</v>
      </c>
      <c r="J144" s="68" t="str">
        <f t="shared" si="2"/>
        <v>1101-19</v>
      </c>
      <c r="K144" s="71" t="str">
        <f>E145</f>
        <v>Bank</v>
      </c>
      <c r="L144" s="34" t="str">
        <f t="shared" si="3"/>
        <v>1102</v>
      </c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123">
        <v>46240.0</v>
      </c>
      <c r="B145" s="130"/>
      <c r="C145" s="125" t="s">
        <v>160</v>
      </c>
      <c r="D145" s="126" t="s">
        <v>33</v>
      </c>
      <c r="E145" s="73" t="str">
        <f>IFERROR(VLOOKUP(D145,'Daftar Akun'!A$6:$B$103,2,FALSE),"")</f>
        <v>Bank</v>
      </c>
      <c r="F145" s="128"/>
      <c r="G145" s="127">
        <v>2000000.0</v>
      </c>
      <c r="H145" s="34"/>
      <c r="I145" s="68">
        <f t="shared" si="1"/>
        <v>38</v>
      </c>
      <c r="J145" s="68" t="str">
        <f t="shared" si="2"/>
        <v>1102-38</v>
      </c>
      <c r="K145" s="71" t="str">
        <f>E144</f>
        <v>Kas</v>
      </c>
      <c r="L145" s="34" t="str">
        <f t="shared" si="3"/>
        <v>1101</v>
      </c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118">
        <v>46240.0</v>
      </c>
      <c r="B146" s="131"/>
      <c r="C146" s="120" t="s">
        <v>246</v>
      </c>
      <c r="D146" s="121" t="s">
        <v>33</v>
      </c>
      <c r="E146" s="43" t="str">
        <f>IFERROR(VLOOKUP(D146,'Daftar Akun'!A$6:$B$103,2,FALSE),"")</f>
        <v>Bank</v>
      </c>
      <c r="F146" s="122">
        <v>2002750.0</v>
      </c>
      <c r="G146" s="129"/>
      <c r="H146" s="34"/>
      <c r="I146" s="68">
        <f t="shared" si="1"/>
        <v>39</v>
      </c>
      <c r="J146" s="68" t="str">
        <f t="shared" si="2"/>
        <v>1102-39</v>
      </c>
      <c r="K146" s="71" t="str">
        <f>E147</f>
        <v>Piutang Dagang</v>
      </c>
      <c r="L146" s="34" t="str">
        <f t="shared" si="3"/>
        <v>1103</v>
      </c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118">
        <v>46240.0</v>
      </c>
      <c r="B147" s="131"/>
      <c r="C147" s="120" t="s">
        <v>246</v>
      </c>
      <c r="D147" s="121" t="s">
        <v>36</v>
      </c>
      <c r="E147" s="43" t="str">
        <f>IFERROR(VLOOKUP(D147,'Daftar Akun'!A$6:$B$103,2,FALSE),"")</f>
        <v>Piutang Dagang</v>
      </c>
      <c r="F147" s="129"/>
      <c r="G147" s="122">
        <v>2002750.0</v>
      </c>
      <c r="H147" s="34"/>
      <c r="I147" s="68">
        <f t="shared" si="1"/>
        <v>16</v>
      </c>
      <c r="J147" s="68" t="str">
        <f t="shared" si="2"/>
        <v>1103-16</v>
      </c>
      <c r="K147" s="71" t="str">
        <f>E146</f>
        <v>Bank</v>
      </c>
      <c r="L147" s="34" t="str">
        <f t="shared" si="3"/>
        <v>1102</v>
      </c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123">
        <v>46240.0</v>
      </c>
      <c r="B148" s="130"/>
      <c r="C148" s="125" t="s">
        <v>247</v>
      </c>
      <c r="D148" s="126" t="s">
        <v>33</v>
      </c>
      <c r="E148" s="73" t="str">
        <f>IFERROR(VLOOKUP(D148,'Daftar Akun'!A$6:$B$103,2,FALSE),"")</f>
        <v>Bank</v>
      </c>
      <c r="F148" s="127">
        <v>1078280.0</v>
      </c>
      <c r="G148" s="128"/>
      <c r="H148" s="34"/>
      <c r="I148" s="68">
        <f t="shared" si="1"/>
        <v>40</v>
      </c>
      <c r="J148" s="68" t="str">
        <f t="shared" si="2"/>
        <v>1102-40</v>
      </c>
      <c r="K148" s="71" t="str">
        <f>E149</f>
        <v>Piutang Ongkir</v>
      </c>
      <c r="L148" s="34" t="str">
        <f t="shared" si="3"/>
        <v>1107</v>
      </c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123">
        <v>46240.0</v>
      </c>
      <c r="B149" s="130"/>
      <c r="C149" s="125" t="s">
        <v>247</v>
      </c>
      <c r="D149" s="126" t="s">
        <v>51</v>
      </c>
      <c r="E149" s="73" t="str">
        <f>IFERROR(VLOOKUP(D149,'Daftar Akun'!A$6:$B$103,2,FALSE),"")</f>
        <v>Piutang Ongkir</v>
      </c>
      <c r="F149" s="128"/>
      <c r="G149" s="127">
        <v>1078280.0</v>
      </c>
      <c r="H149" s="34"/>
      <c r="I149" s="68">
        <f t="shared" si="1"/>
        <v>12</v>
      </c>
      <c r="J149" s="68" t="str">
        <f t="shared" si="2"/>
        <v>1107-12</v>
      </c>
      <c r="K149" s="71" t="str">
        <f>E148</f>
        <v>Bank</v>
      </c>
      <c r="L149" s="34" t="str">
        <f t="shared" si="3"/>
        <v>1102</v>
      </c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118">
        <v>46240.0</v>
      </c>
      <c r="B150" s="119" t="s">
        <v>248</v>
      </c>
      <c r="C150" s="120" t="s">
        <v>249</v>
      </c>
      <c r="D150" s="121" t="s">
        <v>93</v>
      </c>
      <c r="E150" s="43" t="str">
        <f>IFERROR(VLOOKUP(D150,'Daftar Akun'!A$6:$B$103,2,FALSE),"")</f>
        <v>Pembelian Bunga</v>
      </c>
      <c r="F150" s="122">
        <v>145000.0</v>
      </c>
      <c r="G150" s="129"/>
      <c r="H150" s="34"/>
      <c r="I150" s="68">
        <f t="shared" si="1"/>
        <v>29</v>
      </c>
      <c r="J150" s="68" t="str">
        <f t="shared" si="2"/>
        <v>5101-29</v>
      </c>
      <c r="K150" s="71" t="str">
        <f>E151</f>
        <v>Kas</v>
      </c>
      <c r="L150" s="34" t="str">
        <f t="shared" si="3"/>
        <v>1101</v>
      </c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118">
        <v>46240.0</v>
      </c>
      <c r="B151" s="119" t="s">
        <v>248</v>
      </c>
      <c r="C151" s="120" t="s">
        <v>249</v>
      </c>
      <c r="D151" s="121" t="s">
        <v>18</v>
      </c>
      <c r="E151" s="43" t="str">
        <f>IFERROR(VLOOKUP(D151,'Daftar Akun'!A$6:$B$103,2,FALSE),"")</f>
        <v>Kas</v>
      </c>
      <c r="F151" s="129"/>
      <c r="G151" s="122">
        <v>145000.0</v>
      </c>
      <c r="H151" s="34"/>
      <c r="I151" s="68">
        <f t="shared" si="1"/>
        <v>20</v>
      </c>
      <c r="J151" s="68" t="str">
        <f t="shared" si="2"/>
        <v>1101-20</v>
      </c>
      <c r="K151" s="71" t="str">
        <f>E150</f>
        <v>Pembelian Bunga</v>
      </c>
      <c r="L151" s="34" t="str">
        <f t="shared" si="3"/>
        <v>5101</v>
      </c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123">
        <v>46240.0</v>
      </c>
      <c r="B152" s="124" t="s">
        <v>250</v>
      </c>
      <c r="C152" s="125" t="s">
        <v>233</v>
      </c>
      <c r="D152" s="126" t="s">
        <v>93</v>
      </c>
      <c r="E152" s="73" t="str">
        <f>IFERROR(VLOOKUP(D152,'Daftar Akun'!A$6:$B$103,2,FALSE),"")</f>
        <v>Pembelian Bunga</v>
      </c>
      <c r="F152" s="127">
        <v>151000.0</v>
      </c>
      <c r="G152" s="128"/>
      <c r="H152" s="34"/>
      <c r="I152" s="68">
        <f t="shared" si="1"/>
        <v>30</v>
      </c>
      <c r="J152" s="68" t="str">
        <f t="shared" si="2"/>
        <v>5101-30</v>
      </c>
      <c r="K152" s="71" t="str">
        <f>E153</f>
        <v>Kas</v>
      </c>
      <c r="L152" s="34" t="str">
        <f t="shared" si="3"/>
        <v>1101</v>
      </c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123">
        <v>46240.0</v>
      </c>
      <c r="B153" s="124" t="s">
        <v>250</v>
      </c>
      <c r="C153" s="125" t="s">
        <v>233</v>
      </c>
      <c r="D153" s="126" t="s">
        <v>18</v>
      </c>
      <c r="E153" s="73" t="str">
        <f>IFERROR(VLOOKUP(D153,'Daftar Akun'!A$6:$B$103,2,FALSE),"")</f>
        <v>Kas</v>
      </c>
      <c r="F153" s="128"/>
      <c r="G153" s="127">
        <v>151000.0</v>
      </c>
      <c r="H153" s="34"/>
      <c r="I153" s="68">
        <f t="shared" si="1"/>
        <v>21</v>
      </c>
      <c r="J153" s="68" t="str">
        <f t="shared" si="2"/>
        <v>1101-21</v>
      </c>
      <c r="K153" s="71" t="str">
        <f>E152</f>
        <v>Pembelian Bunga</v>
      </c>
      <c r="L153" s="34" t="str">
        <f t="shared" si="3"/>
        <v>5101</v>
      </c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118">
        <v>46240.0</v>
      </c>
      <c r="B154" s="119" t="s">
        <v>251</v>
      </c>
      <c r="C154" s="120" t="s">
        <v>252</v>
      </c>
      <c r="D154" s="121" t="s">
        <v>53</v>
      </c>
      <c r="E154" s="43" t="str">
        <f>IFERROR(VLOOKUP(D154,'Daftar Akun'!A$6:$B$103,2,FALSE),"")</f>
        <v>Perlengkapan</v>
      </c>
      <c r="F154" s="122">
        <v>28000.0</v>
      </c>
      <c r="G154" s="129"/>
      <c r="H154" s="34"/>
      <c r="I154" s="68">
        <f t="shared" si="1"/>
        <v>1</v>
      </c>
      <c r="J154" s="68" t="str">
        <f t="shared" si="2"/>
        <v>1108-1</v>
      </c>
      <c r="K154" s="71" t="str">
        <f>E155</f>
        <v>Kas</v>
      </c>
      <c r="L154" s="34" t="str">
        <f t="shared" si="3"/>
        <v>1101</v>
      </c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118">
        <v>46240.0</v>
      </c>
      <c r="B155" s="119" t="s">
        <v>251</v>
      </c>
      <c r="C155" s="120" t="s">
        <v>253</v>
      </c>
      <c r="D155" s="121" t="s">
        <v>18</v>
      </c>
      <c r="E155" s="43" t="str">
        <f>IFERROR(VLOOKUP(D155,'Daftar Akun'!A$6:$B$103,2,FALSE),"")</f>
        <v>Kas</v>
      </c>
      <c r="F155" s="129"/>
      <c r="G155" s="122">
        <v>28000.0</v>
      </c>
      <c r="H155" s="34"/>
      <c r="I155" s="68">
        <f t="shared" si="1"/>
        <v>22</v>
      </c>
      <c r="J155" s="68" t="str">
        <f t="shared" si="2"/>
        <v>1101-22</v>
      </c>
      <c r="K155" s="71" t="str">
        <f>E154</f>
        <v>Perlengkapan</v>
      </c>
      <c r="L155" s="34" t="str">
        <f t="shared" si="3"/>
        <v>1108</v>
      </c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123">
        <v>46240.0</v>
      </c>
      <c r="B156" s="124" t="s">
        <v>254</v>
      </c>
      <c r="C156" s="125" t="s">
        <v>255</v>
      </c>
      <c r="D156" s="126" t="s">
        <v>36</v>
      </c>
      <c r="E156" s="73" t="str">
        <f>IFERROR(VLOOKUP(D156,'Daftar Akun'!A$6:$B$103,2,FALSE),"")</f>
        <v>Piutang Dagang</v>
      </c>
      <c r="F156" s="127">
        <v>224000.0</v>
      </c>
      <c r="G156" s="128"/>
      <c r="H156" s="34"/>
      <c r="I156" s="68">
        <f t="shared" si="1"/>
        <v>17</v>
      </c>
      <c r="J156" s="68" t="str">
        <f t="shared" si="2"/>
        <v>1103-17</v>
      </c>
      <c r="K156" s="71" t="str">
        <f>E157</f>
        <v>Penjualan</v>
      </c>
      <c r="L156" s="34" t="str">
        <f t="shared" si="3"/>
        <v>4101</v>
      </c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123">
        <v>46240.0</v>
      </c>
      <c r="B157" s="124" t="s">
        <v>254</v>
      </c>
      <c r="C157" s="125" t="s">
        <v>255</v>
      </c>
      <c r="D157" s="126" t="s">
        <v>80</v>
      </c>
      <c r="E157" s="73" t="str">
        <f>IFERROR(VLOOKUP(D157,'Daftar Akun'!A$6:$B$103,2,FALSE),"")</f>
        <v>Penjualan</v>
      </c>
      <c r="F157" s="128"/>
      <c r="G157" s="127">
        <v>224000.0</v>
      </c>
      <c r="H157" s="34"/>
      <c r="I157" s="68">
        <f t="shared" si="1"/>
        <v>17</v>
      </c>
      <c r="J157" s="68" t="str">
        <f t="shared" si="2"/>
        <v>4101-17</v>
      </c>
      <c r="K157" s="71" t="str">
        <f>E156</f>
        <v>Piutang Dagang</v>
      </c>
      <c r="L157" s="34" t="str">
        <f t="shared" si="3"/>
        <v>1103</v>
      </c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118">
        <v>46240.0</v>
      </c>
      <c r="B158" s="131"/>
      <c r="C158" s="120" t="s">
        <v>256</v>
      </c>
      <c r="D158" s="121" t="s">
        <v>121</v>
      </c>
      <c r="E158" s="43" t="str">
        <f>IFERROR(VLOOKUP(D158,'Daftar Akun'!A$6:$B$103,2,FALSE),"")</f>
        <v>Beban Lain-Lain</v>
      </c>
      <c r="F158" s="122">
        <v>1000.0</v>
      </c>
      <c r="G158" s="129"/>
      <c r="H158" s="34"/>
      <c r="I158" s="68">
        <f t="shared" si="1"/>
        <v>5</v>
      </c>
      <c r="J158" s="68" t="str">
        <f t="shared" si="2"/>
        <v>6108-5</v>
      </c>
      <c r="K158" s="71" t="str">
        <f>E159</f>
        <v>Kas</v>
      </c>
      <c r="L158" s="34" t="str">
        <f t="shared" si="3"/>
        <v>1101</v>
      </c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118">
        <v>46240.0</v>
      </c>
      <c r="B159" s="131"/>
      <c r="C159" s="120" t="s">
        <v>256</v>
      </c>
      <c r="D159" s="121" t="s">
        <v>18</v>
      </c>
      <c r="E159" s="43" t="str">
        <f>IFERROR(VLOOKUP(D159,'Daftar Akun'!A$6:$B$103,2,FALSE),"")</f>
        <v>Kas</v>
      </c>
      <c r="F159" s="129"/>
      <c r="G159" s="122">
        <v>1000.0</v>
      </c>
      <c r="H159" s="34"/>
      <c r="I159" s="68">
        <f t="shared" si="1"/>
        <v>23</v>
      </c>
      <c r="J159" s="68" t="str">
        <f t="shared" si="2"/>
        <v>1101-23</v>
      </c>
      <c r="K159" s="71" t="str">
        <f>E158</f>
        <v>Beban Lain-Lain</v>
      </c>
      <c r="L159" s="34" t="str">
        <f t="shared" si="3"/>
        <v>6108</v>
      </c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123">
        <v>46240.0</v>
      </c>
      <c r="B160" s="124" t="s">
        <v>257</v>
      </c>
      <c r="C160" s="125" t="s">
        <v>258</v>
      </c>
      <c r="D160" s="126" t="s">
        <v>93</v>
      </c>
      <c r="E160" s="73" t="str">
        <f>IFERROR(VLOOKUP(D160,'Daftar Akun'!A$6:$B$103,2,FALSE),"")</f>
        <v>Pembelian Bunga</v>
      </c>
      <c r="F160" s="127">
        <v>64000.0</v>
      </c>
      <c r="G160" s="128"/>
      <c r="H160" s="34"/>
      <c r="I160" s="68">
        <f t="shared" si="1"/>
        <v>31</v>
      </c>
      <c r="J160" s="68" t="str">
        <f t="shared" si="2"/>
        <v>5101-31</v>
      </c>
      <c r="K160" s="71" t="str">
        <f>E161</f>
        <v>Hutang Dagang</v>
      </c>
      <c r="L160" s="34" t="str">
        <f t="shared" si="3"/>
        <v>2101</v>
      </c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123">
        <v>46240.0</v>
      </c>
      <c r="B161" s="124" t="s">
        <v>257</v>
      </c>
      <c r="C161" s="125" t="s">
        <v>195</v>
      </c>
      <c r="D161" s="126" t="s">
        <v>67</v>
      </c>
      <c r="E161" s="73" t="str">
        <f>IFERROR(VLOOKUP(D161,'Daftar Akun'!A$6:$B$103,2,FALSE),"")</f>
        <v>Hutang Dagang</v>
      </c>
      <c r="F161" s="128"/>
      <c r="G161" s="127">
        <v>64000.0</v>
      </c>
      <c r="H161" s="34"/>
      <c r="I161" s="68">
        <f t="shared" si="1"/>
        <v>4</v>
      </c>
      <c r="J161" s="68" t="str">
        <f t="shared" si="2"/>
        <v>2101-4</v>
      </c>
      <c r="K161" s="71" t="str">
        <f>E160</f>
        <v>Pembelian Bunga</v>
      </c>
      <c r="L161" s="34" t="str">
        <f t="shared" si="3"/>
        <v>5101</v>
      </c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118">
        <v>46240.0</v>
      </c>
      <c r="B162" s="119" t="s">
        <v>259</v>
      </c>
      <c r="C162" s="120" t="s">
        <v>260</v>
      </c>
      <c r="D162" s="121" t="s">
        <v>36</v>
      </c>
      <c r="E162" s="43" t="str">
        <f>IFERROR(VLOOKUP(D162,'Daftar Akun'!A$6:$B$103,2,FALSE),"")</f>
        <v>Piutang Dagang</v>
      </c>
      <c r="F162" s="122">
        <v>680000.0</v>
      </c>
      <c r="G162" s="129"/>
      <c r="H162" s="34"/>
      <c r="I162" s="68">
        <f t="shared" si="1"/>
        <v>18</v>
      </c>
      <c r="J162" s="68" t="str">
        <f t="shared" si="2"/>
        <v>1103-18</v>
      </c>
      <c r="K162" s="71" t="str">
        <f>E163</f>
        <v>Penjualan</v>
      </c>
      <c r="L162" s="34" t="str">
        <f t="shared" si="3"/>
        <v>4101</v>
      </c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118">
        <v>46240.0</v>
      </c>
      <c r="B163" s="119" t="s">
        <v>259</v>
      </c>
      <c r="C163" s="120" t="s">
        <v>260</v>
      </c>
      <c r="D163" s="121" t="s">
        <v>80</v>
      </c>
      <c r="E163" s="43" t="str">
        <f>IFERROR(VLOOKUP(D163,'Daftar Akun'!A$6:$B$103,2,FALSE),"")</f>
        <v>Penjualan</v>
      </c>
      <c r="F163" s="129"/>
      <c r="G163" s="122">
        <v>680000.0</v>
      </c>
      <c r="H163" s="34"/>
      <c r="I163" s="68">
        <f t="shared" si="1"/>
        <v>18</v>
      </c>
      <c r="J163" s="68" t="str">
        <f t="shared" si="2"/>
        <v>4101-18</v>
      </c>
      <c r="K163" s="71" t="str">
        <f>E162</f>
        <v>Piutang Dagang</v>
      </c>
      <c r="L163" s="34" t="str">
        <f t="shared" si="3"/>
        <v>1103</v>
      </c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123">
        <v>46240.0</v>
      </c>
      <c r="B164" s="124" t="s">
        <v>261</v>
      </c>
      <c r="C164" s="125" t="s">
        <v>262</v>
      </c>
      <c r="D164" s="126" t="s">
        <v>36</v>
      </c>
      <c r="E164" s="73" t="str">
        <f>IFERROR(VLOOKUP(D164,'Daftar Akun'!A$6:$B$103,2,FALSE),"")</f>
        <v>Piutang Dagang</v>
      </c>
      <c r="F164" s="127">
        <v>739250.0</v>
      </c>
      <c r="G164" s="128"/>
      <c r="H164" s="34"/>
      <c r="I164" s="68">
        <f t="shared" si="1"/>
        <v>19</v>
      </c>
      <c r="J164" s="68" t="str">
        <f t="shared" si="2"/>
        <v>1103-19</v>
      </c>
      <c r="K164" s="71" t="str">
        <f>E165</f>
        <v>Penjualan</v>
      </c>
      <c r="L164" s="34" t="str">
        <f t="shared" si="3"/>
        <v>4101</v>
      </c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123">
        <v>46240.0</v>
      </c>
      <c r="B165" s="124" t="s">
        <v>261</v>
      </c>
      <c r="C165" s="125" t="s">
        <v>262</v>
      </c>
      <c r="D165" s="126" t="s">
        <v>80</v>
      </c>
      <c r="E165" s="73" t="str">
        <f>IFERROR(VLOOKUP(D165,'Daftar Akun'!A$6:$B$103,2,FALSE),"")</f>
        <v>Penjualan</v>
      </c>
      <c r="F165" s="128"/>
      <c r="G165" s="127">
        <v>739250.0</v>
      </c>
      <c r="H165" s="34"/>
      <c r="I165" s="68">
        <f t="shared" si="1"/>
        <v>19</v>
      </c>
      <c r="J165" s="68" t="str">
        <f t="shared" si="2"/>
        <v>4101-19</v>
      </c>
      <c r="K165" s="71" t="str">
        <f>E164</f>
        <v>Piutang Dagang</v>
      </c>
      <c r="L165" s="34" t="str">
        <f t="shared" si="3"/>
        <v>1103</v>
      </c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118">
        <v>46240.0</v>
      </c>
      <c r="B166" s="119" t="s">
        <v>265</v>
      </c>
      <c r="C166" s="120" t="s">
        <v>266</v>
      </c>
      <c r="D166" s="121" t="s">
        <v>36</v>
      </c>
      <c r="E166" s="43" t="str">
        <f>IFERROR(VLOOKUP(D166,'Daftar Akun'!A$6:$B$103,2,FALSE),"")</f>
        <v>Piutang Dagang</v>
      </c>
      <c r="F166" s="122">
        <v>745000.0</v>
      </c>
      <c r="G166" s="129"/>
      <c r="H166" s="34"/>
      <c r="I166" s="68">
        <f t="shared" si="1"/>
        <v>20</v>
      </c>
      <c r="J166" s="68" t="str">
        <f t="shared" si="2"/>
        <v>1103-20</v>
      </c>
      <c r="K166" s="71" t="str">
        <f>E167</f>
        <v>Penjualan</v>
      </c>
      <c r="L166" s="34" t="str">
        <f t="shared" si="3"/>
        <v>4101</v>
      </c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118">
        <v>46240.0</v>
      </c>
      <c r="B167" s="119" t="s">
        <v>265</v>
      </c>
      <c r="C167" s="120" t="s">
        <v>266</v>
      </c>
      <c r="D167" s="121" t="s">
        <v>80</v>
      </c>
      <c r="E167" s="43" t="str">
        <f>IFERROR(VLOOKUP(D167,'Daftar Akun'!A$6:$B$103,2,FALSE),"")</f>
        <v>Penjualan</v>
      </c>
      <c r="F167" s="129"/>
      <c r="G167" s="122">
        <v>745000.0</v>
      </c>
      <c r="H167" s="34"/>
      <c r="I167" s="68">
        <f t="shared" si="1"/>
        <v>20</v>
      </c>
      <c r="J167" s="68" t="str">
        <f t="shared" si="2"/>
        <v>4101-20</v>
      </c>
      <c r="K167" s="71" t="str">
        <f>E166</f>
        <v>Piutang Dagang</v>
      </c>
      <c r="L167" s="34" t="str">
        <f t="shared" si="3"/>
        <v>1103</v>
      </c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123">
        <v>46241.0</v>
      </c>
      <c r="B168" s="130"/>
      <c r="C168" s="125" t="s">
        <v>268</v>
      </c>
      <c r="D168" s="126" t="s">
        <v>51</v>
      </c>
      <c r="E168" s="73" t="str">
        <f>IFERROR(VLOOKUP(D168,'Daftar Akun'!A$6:$B$103,2,FALSE),"")</f>
        <v>Piutang Ongkir</v>
      </c>
      <c r="F168" s="127">
        <v>2002388.0</v>
      </c>
      <c r="G168" s="128"/>
      <c r="H168" s="34"/>
      <c r="I168" s="68">
        <f t="shared" si="1"/>
        <v>13</v>
      </c>
      <c r="J168" s="68" t="str">
        <f t="shared" si="2"/>
        <v>1107-13</v>
      </c>
      <c r="K168" s="71" t="str">
        <f>E169</f>
        <v>Bank</v>
      </c>
      <c r="L168" s="34" t="str">
        <f t="shared" si="3"/>
        <v>1102</v>
      </c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123">
        <v>46241.0</v>
      </c>
      <c r="B169" s="130"/>
      <c r="C169" s="125" t="s">
        <v>268</v>
      </c>
      <c r="D169" s="126" t="s">
        <v>33</v>
      </c>
      <c r="E169" s="73" t="str">
        <f>IFERROR(VLOOKUP(D169,'Daftar Akun'!A$6:$B$103,2,FALSE),"")</f>
        <v>Bank</v>
      </c>
      <c r="F169" s="128"/>
      <c r="G169" s="127">
        <v>2002388.0</v>
      </c>
      <c r="H169" s="34"/>
      <c r="I169" s="68">
        <f t="shared" si="1"/>
        <v>41</v>
      </c>
      <c r="J169" s="68" t="str">
        <f t="shared" si="2"/>
        <v>1102-41</v>
      </c>
      <c r="K169" s="71" t="str">
        <f>E168</f>
        <v>Piutang Ongkir</v>
      </c>
      <c r="L169" s="34" t="str">
        <f t="shared" si="3"/>
        <v>1107</v>
      </c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118">
        <v>46241.0</v>
      </c>
      <c r="B170" s="131"/>
      <c r="C170" s="120" t="s">
        <v>270</v>
      </c>
      <c r="D170" s="121" t="s">
        <v>77</v>
      </c>
      <c r="E170" s="43" t="str">
        <f>IFERROR(VLOOKUP(D170,'Daftar Akun'!A$6:$B$103,2,FALSE),"")</f>
        <v>Prive</v>
      </c>
      <c r="F170" s="122">
        <v>155000.0</v>
      </c>
      <c r="G170" s="129"/>
      <c r="H170" s="34"/>
      <c r="I170" s="68">
        <f t="shared" si="1"/>
        <v>1</v>
      </c>
      <c r="J170" s="68" t="str">
        <f t="shared" si="2"/>
        <v>3102-1</v>
      </c>
      <c r="K170" s="71" t="str">
        <f>E171</f>
        <v>Kas</v>
      </c>
      <c r="L170" s="34" t="str">
        <f t="shared" si="3"/>
        <v>1101</v>
      </c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118">
        <v>46241.0</v>
      </c>
      <c r="B171" s="131"/>
      <c r="C171" s="120" t="s">
        <v>270</v>
      </c>
      <c r="D171" s="121" t="s">
        <v>18</v>
      </c>
      <c r="E171" s="43" t="str">
        <f>IFERROR(VLOOKUP(D171,'Daftar Akun'!A$6:$B$103,2,FALSE),"")</f>
        <v>Kas</v>
      </c>
      <c r="F171" s="129"/>
      <c r="G171" s="122">
        <v>155000.0</v>
      </c>
      <c r="H171" s="34"/>
      <c r="I171" s="68">
        <f t="shared" si="1"/>
        <v>24</v>
      </c>
      <c r="J171" s="68" t="str">
        <f t="shared" si="2"/>
        <v>1101-24</v>
      </c>
      <c r="K171" s="71" t="str">
        <f>E170</f>
        <v>Prive</v>
      </c>
      <c r="L171" s="34" t="str">
        <f t="shared" si="3"/>
        <v>3102</v>
      </c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123">
        <v>46241.0</v>
      </c>
      <c r="B172" s="130"/>
      <c r="C172" s="125" t="s">
        <v>275</v>
      </c>
      <c r="D172" s="126" t="s">
        <v>77</v>
      </c>
      <c r="E172" s="73" t="str">
        <f>IFERROR(VLOOKUP(D172,'Daftar Akun'!A$6:$B$103,2,FALSE),"")</f>
        <v>Prive</v>
      </c>
      <c r="F172" s="127">
        <v>40000.0</v>
      </c>
      <c r="G172" s="128"/>
      <c r="H172" s="34"/>
      <c r="I172" s="68">
        <f t="shared" si="1"/>
        <v>2</v>
      </c>
      <c r="J172" s="68" t="str">
        <f t="shared" si="2"/>
        <v>3102-2</v>
      </c>
      <c r="K172" s="71" t="str">
        <f>E173</f>
        <v>Kas</v>
      </c>
      <c r="L172" s="34" t="str">
        <f t="shared" si="3"/>
        <v>1101</v>
      </c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123">
        <v>46241.0</v>
      </c>
      <c r="B173" s="130"/>
      <c r="C173" s="125" t="s">
        <v>275</v>
      </c>
      <c r="D173" s="126" t="s">
        <v>18</v>
      </c>
      <c r="E173" s="73" t="str">
        <f>IFERROR(VLOOKUP(D173,'Daftar Akun'!A$6:$B$103,2,FALSE),"")</f>
        <v>Kas</v>
      </c>
      <c r="F173" s="128"/>
      <c r="G173" s="127">
        <v>40000.0</v>
      </c>
      <c r="H173" s="34"/>
      <c r="I173" s="68">
        <f t="shared" si="1"/>
        <v>25</v>
      </c>
      <c r="J173" s="68" t="str">
        <f t="shared" si="2"/>
        <v>1101-25</v>
      </c>
      <c r="K173" s="71" t="str">
        <f>E172</f>
        <v>Prive</v>
      </c>
      <c r="L173" s="34" t="str">
        <f t="shared" si="3"/>
        <v>3102</v>
      </c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118">
        <v>46241.0</v>
      </c>
      <c r="B174" s="131"/>
      <c r="C174" s="120" t="s">
        <v>277</v>
      </c>
      <c r="D174" s="121" t="s">
        <v>33</v>
      </c>
      <c r="E174" s="43" t="str">
        <f>IFERROR(VLOOKUP(D174,'Daftar Akun'!A$6:$B$103,2,FALSE),"")</f>
        <v>Bank</v>
      </c>
      <c r="F174" s="122">
        <v>2002388.0</v>
      </c>
      <c r="G174" s="129"/>
      <c r="H174" s="34"/>
      <c r="I174" s="68">
        <f t="shared" si="1"/>
        <v>42</v>
      </c>
      <c r="J174" s="68" t="str">
        <f t="shared" si="2"/>
        <v>1102-42</v>
      </c>
      <c r="K174" s="71" t="str">
        <f>E175</f>
        <v>Piutang Ongkir</v>
      </c>
      <c r="L174" s="34" t="str">
        <f t="shared" si="3"/>
        <v>1107</v>
      </c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118">
        <v>46241.0</v>
      </c>
      <c r="B175" s="131"/>
      <c r="C175" s="120" t="s">
        <v>277</v>
      </c>
      <c r="D175" s="121" t="s">
        <v>51</v>
      </c>
      <c r="E175" s="43" t="str">
        <f>IFERROR(VLOOKUP(D175,'Daftar Akun'!A$6:$B$103,2,FALSE),"")</f>
        <v>Piutang Ongkir</v>
      </c>
      <c r="F175" s="129"/>
      <c r="G175" s="122">
        <v>2002388.0</v>
      </c>
      <c r="H175" s="34"/>
      <c r="I175" s="68">
        <f t="shared" si="1"/>
        <v>14</v>
      </c>
      <c r="J175" s="68" t="str">
        <f t="shared" si="2"/>
        <v>1107-14</v>
      </c>
      <c r="K175" s="71" t="str">
        <f>E174</f>
        <v>Bank</v>
      </c>
      <c r="L175" s="34" t="str">
        <f t="shared" si="3"/>
        <v>1102</v>
      </c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123">
        <v>46241.0</v>
      </c>
      <c r="B176" s="130"/>
      <c r="C176" s="125" t="s">
        <v>278</v>
      </c>
      <c r="D176" s="126" t="s">
        <v>33</v>
      </c>
      <c r="E176" s="73" t="str">
        <f>IFERROR(VLOOKUP(D176,'Daftar Akun'!A$6:$B$103,2,FALSE),"")</f>
        <v>Bank</v>
      </c>
      <c r="F176" s="127">
        <v>2164250.0</v>
      </c>
      <c r="G176" s="128"/>
      <c r="H176" s="34"/>
      <c r="I176" s="68">
        <f t="shared" si="1"/>
        <v>43</v>
      </c>
      <c r="J176" s="68" t="str">
        <f t="shared" si="2"/>
        <v>1102-43</v>
      </c>
      <c r="K176" s="71" t="str">
        <f>E177</f>
        <v>Piutang Dagang</v>
      </c>
      <c r="L176" s="34" t="str">
        <f t="shared" si="3"/>
        <v>1103</v>
      </c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123">
        <v>46241.0</v>
      </c>
      <c r="B177" s="130"/>
      <c r="C177" s="125" t="s">
        <v>278</v>
      </c>
      <c r="D177" s="126" t="s">
        <v>36</v>
      </c>
      <c r="E177" s="73" t="str">
        <f>IFERROR(VLOOKUP(D177,'Daftar Akun'!A$6:$B$103,2,FALSE),"")</f>
        <v>Piutang Dagang</v>
      </c>
      <c r="F177" s="128"/>
      <c r="G177" s="127">
        <v>2164250.0</v>
      </c>
      <c r="H177" s="34"/>
      <c r="I177" s="68">
        <f t="shared" si="1"/>
        <v>21</v>
      </c>
      <c r="J177" s="68" t="str">
        <f t="shared" si="2"/>
        <v>1103-21</v>
      </c>
      <c r="K177" s="71" t="str">
        <f>E176</f>
        <v>Bank</v>
      </c>
      <c r="L177" s="34" t="str">
        <f t="shared" si="3"/>
        <v>1102</v>
      </c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118">
        <v>46241.0</v>
      </c>
      <c r="B178" s="119" t="s">
        <v>281</v>
      </c>
      <c r="C178" s="120" t="s">
        <v>157</v>
      </c>
      <c r="D178" s="121" t="s">
        <v>93</v>
      </c>
      <c r="E178" s="43" t="str">
        <f>IFERROR(VLOOKUP(D178,'Daftar Akun'!A$6:$B$103,2,FALSE),"")</f>
        <v>Pembelian Bunga</v>
      </c>
      <c r="F178" s="122">
        <v>50000.0</v>
      </c>
      <c r="G178" s="129"/>
      <c r="H178" s="34"/>
      <c r="I178" s="68">
        <f t="shared" si="1"/>
        <v>32</v>
      </c>
      <c r="J178" s="68" t="str">
        <f t="shared" si="2"/>
        <v>5101-32</v>
      </c>
      <c r="K178" s="71" t="str">
        <f>E179</f>
        <v>Kas</v>
      </c>
      <c r="L178" s="34" t="str">
        <f t="shared" si="3"/>
        <v>1101</v>
      </c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118">
        <v>46241.0</v>
      </c>
      <c r="B179" s="119" t="s">
        <v>281</v>
      </c>
      <c r="C179" s="120" t="s">
        <v>157</v>
      </c>
      <c r="D179" s="121" t="s">
        <v>18</v>
      </c>
      <c r="E179" s="43" t="str">
        <f>IFERROR(VLOOKUP(D179,'Daftar Akun'!A$6:$B$103,2,FALSE),"")</f>
        <v>Kas</v>
      </c>
      <c r="F179" s="129"/>
      <c r="G179" s="122">
        <v>50000.0</v>
      </c>
      <c r="H179" s="34"/>
      <c r="I179" s="68">
        <f t="shared" si="1"/>
        <v>26</v>
      </c>
      <c r="J179" s="68" t="str">
        <f t="shared" si="2"/>
        <v>1101-26</v>
      </c>
      <c r="K179" s="71" t="str">
        <f>E178</f>
        <v>Pembelian Bunga</v>
      </c>
      <c r="L179" s="34" t="str">
        <f t="shared" si="3"/>
        <v>5101</v>
      </c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123">
        <v>46241.0</v>
      </c>
      <c r="B180" s="124" t="s">
        <v>284</v>
      </c>
      <c r="C180" s="125" t="s">
        <v>231</v>
      </c>
      <c r="D180" s="126" t="s">
        <v>93</v>
      </c>
      <c r="E180" s="73" t="str">
        <f>IFERROR(VLOOKUP(D180,'Daftar Akun'!A$6:$B$103,2,FALSE),"")</f>
        <v>Pembelian Bunga</v>
      </c>
      <c r="F180" s="127">
        <v>45000.0</v>
      </c>
      <c r="G180" s="128"/>
      <c r="H180" s="34"/>
      <c r="I180" s="68">
        <f t="shared" si="1"/>
        <v>33</v>
      </c>
      <c r="J180" s="68" t="str">
        <f t="shared" si="2"/>
        <v>5101-33</v>
      </c>
      <c r="K180" s="71" t="str">
        <f>E181</f>
        <v>Kas</v>
      </c>
      <c r="L180" s="34" t="str">
        <f t="shared" si="3"/>
        <v>1101</v>
      </c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123">
        <v>46241.0</v>
      </c>
      <c r="B181" s="124" t="s">
        <v>284</v>
      </c>
      <c r="C181" s="125" t="s">
        <v>231</v>
      </c>
      <c r="D181" s="126" t="s">
        <v>18</v>
      </c>
      <c r="E181" s="73" t="str">
        <f>IFERROR(VLOOKUP(D181,'Daftar Akun'!A$6:$B$103,2,FALSE),"")</f>
        <v>Kas</v>
      </c>
      <c r="F181" s="128"/>
      <c r="G181" s="127">
        <v>45000.0</v>
      </c>
      <c r="H181" s="34"/>
      <c r="I181" s="68">
        <f t="shared" si="1"/>
        <v>27</v>
      </c>
      <c r="J181" s="68" t="str">
        <f t="shared" si="2"/>
        <v>1101-27</v>
      </c>
      <c r="K181" s="71" t="str">
        <f>E180</f>
        <v>Pembelian Bunga</v>
      </c>
      <c r="L181" s="34" t="str">
        <f t="shared" si="3"/>
        <v>5101</v>
      </c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118">
        <v>46241.0</v>
      </c>
      <c r="B182" s="119" t="s">
        <v>285</v>
      </c>
      <c r="C182" s="120" t="s">
        <v>286</v>
      </c>
      <c r="D182" s="121" t="s">
        <v>121</v>
      </c>
      <c r="E182" s="43" t="str">
        <f>IFERROR(VLOOKUP(D182,'Daftar Akun'!A$6:$B$103,2,FALSE),"")</f>
        <v>Beban Lain-Lain</v>
      </c>
      <c r="F182" s="122">
        <v>20000.0</v>
      </c>
      <c r="G182" s="129"/>
      <c r="H182" s="34"/>
      <c r="I182" s="68">
        <f t="shared" si="1"/>
        <v>6</v>
      </c>
      <c r="J182" s="68" t="str">
        <f t="shared" si="2"/>
        <v>6108-6</v>
      </c>
      <c r="K182" s="71" t="str">
        <f>E183</f>
        <v>Kas</v>
      </c>
      <c r="L182" s="34" t="str">
        <f t="shared" si="3"/>
        <v>1101</v>
      </c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118">
        <v>46241.0</v>
      </c>
      <c r="B183" s="119" t="s">
        <v>285</v>
      </c>
      <c r="C183" s="120" t="s">
        <v>286</v>
      </c>
      <c r="D183" s="121" t="s">
        <v>18</v>
      </c>
      <c r="E183" s="43" t="str">
        <f>IFERROR(VLOOKUP(D183,'Daftar Akun'!A$6:$B$103,2,FALSE),"")</f>
        <v>Kas</v>
      </c>
      <c r="F183" s="129"/>
      <c r="G183" s="122">
        <v>20000.0</v>
      </c>
      <c r="H183" s="34"/>
      <c r="I183" s="68">
        <f t="shared" si="1"/>
        <v>28</v>
      </c>
      <c r="J183" s="68" t="str">
        <f t="shared" si="2"/>
        <v>1101-28</v>
      </c>
      <c r="K183" s="71" t="str">
        <f>E182</f>
        <v>Beban Lain-Lain</v>
      </c>
      <c r="L183" s="34" t="str">
        <f t="shared" si="3"/>
        <v>6108</v>
      </c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123">
        <v>46241.0</v>
      </c>
      <c r="B184" s="130"/>
      <c r="C184" s="125" t="s">
        <v>287</v>
      </c>
      <c r="D184" s="126" t="s">
        <v>100</v>
      </c>
      <c r="E184" s="73" t="str">
        <f>IFERROR(VLOOKUP(D184,'Daftar Akun'!A$6:$B$103,2,FALSE),"")</f>
        <v>Beban Angkut Pembelian</v>
      </c>
      <c r="F184" s="127">
        <v>20000.0</v>
      </c>
      <c r="G184" s="128"/>
      <c r="H184" s="34"/>
      <c r="I184" s="68">
        <f t="shared" si="1"/>
        <v>3</v>
      </c>
      <c r="J184" s="68" t="str">
        <f t="shared" si="2"/>
        <v>5103-3</v>
      </c>
      <c r="K184" s="71" t="str">
        <f>E185</f>
        <v>Kas</v>
      </c>
      <c r="L184" s="34" t="str">
        <f t="shared" si="3"/>
        <v>1101</v>
      </c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123">
        <v>46241.0</v>
      </c>
      <c r="B185" s="130"/>
      <c r="C185" s="125" t="s">
        <v>287</v>
      </c>
      <c r="D185" s="126" t="s">
        <v>18</v>
      </c>
      <c r="E185" s="73" t="str">
        <f>IFERROR(VLOOKUP(D185,'Daftar Akun'!A$6:$B$103,2,FALSE),"")</f>
        <v>Kas</v>
      </c>
      <c r="F185" s="128"/>
      <c r="G185" s="127">
        <v>20000.0</v>
      </c>
      <c r="H185" s="34"/>
      <c r="I185" s="68">
        <f t="shared" si="1"/>
        <v>29</v>
      </c>
      <c r="J185" s="68" t="str">
        <f t="shared" si="2"/>
        <v>1101-29</v>
      </c>
      <c r="K185" s="71" t="str">
        <f>E184</f>
        <v>Beban Angkut Pembelian</v>
      </c>
      <c r="L185" s="34" t="str">
        <f t="shared" si="3"/>
        <v>5103</v>
      </c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118">
        <v>46241.0</v>
      </c>
      <c r="B186" s="119" t="s">
        <v>288</v>
      </c>
      <c r="C186" s="120" t="s">
        <v>289</v>
      </c>
      <c r="D186" s="121" t="s">
        <v>33</v>
      </c>
      <c r="E186" s="43" t="str">
        <f>IFERROR(VLOOKUP(D186,'Daftar Akun'!A$6:$B$103,2,FALSE),"")</f>
        <v>Bank</v>
      </c>
      <c r="F186" s="122">
        <v>50000.0</v>
      </c>
      <c r="G186" s="129"/>
      <c r="H186" s="34"/>
      <c r="I186" s="68">
        <f t="shared" si="1"/>
        <v>44</v>
      </c>
      <c r="J186" s="68" t="str">
        <f t="shared" si="2"/>
        <v>1102-44</v>
      </c>
      <c r="K186" s="71" t="str">
        <f>E187</f>
        <v>Penjualan</v>
      </c>
      <c r="L186" s="34" t="str">
        <f t="shared" si="3"/>
        <v>4101</v>
      </c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118">
        <v>46241.0</v>
      </c>
      <c r="B187" s="119" t="s">
        <v>288</v>
      </c>
      <c r="C187" s="120" t="s">
        <v>289</v>
      </c>
      <c r="D187" s="121" t="s">
        <v>80</v>
      </c>
      <c r="E187" s="43" t="str">
        <f>IFERROR(VLOOKUP(D187,'Daftar Akun'!A$6:$B$103,2,FALSE),"")</f>
        <v>Penjualan</v>
      </c>
      <c r="F187" s="129"/>
      <c r="G187" s="122">
        <v>50000.0</v>
      </c>
      <c r="H187" s="34"/>
      <c r="I187" s="68">
        <f t="shared" si="1"/>
        <v>21</v>
      </c>
      <c r="J187" s="68" t="str">
        <f t="shared" si="2"/>
        <v>4101-21</v>
      </c>
      <c r="K187" s="71" t="str">
        <f>E186</f>
        <v>Bank</v>
      </c>
      <c r="L187" s="34" t="str">
        <f t="shared" si="3"/>
        <v>1102</v>
      </c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123">
        <v>46241.0</v>
      </c>
      <c r="B188" s="124" t="s">
        <v>290</v>
      </c>
      <c r="C188" s="125" t="s">
        <v>291</v>
      </c>
      <c r="D188" s="126" t="s">
        <v>93</v>
      </c>
      <c r="E188" s="73" t="str">
        <f>IFERROR(VLOOKUP(D188,'Daftar Akun'!A$6:$B$103,2,FALSE),"")</f>
        <v>Pembelian Bunga</v>
      </c>
      <c r="F188" s="127">
        <v>90000.0</v>
      </c>
      <c r="G188" s="128"/>
      <c r="H188" s="34"/>
      <c r="I188" s="68">
        <f t="shared" si="1"/>
        <v>34</v>
      </c>
      <c r="J188" s="68" t="str">
        <f t="shared" si="2"/>
        <v>5101-34</v>
      </c>
      <c r="K188" s="71" t="str">
        <f>E189</f>
        <v>Hutang Dagang</v>
      </c>
      <c r="L188" s="34" t="str">
        <f t="shared" si="3"/>
        <v>2101</v>
      </c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123">
        <v>46241.0</v>
      </c>
      <c r="B189" s="124" t="s">
        <v>290</v>
      </c>
      <c r="C189" s="125" t="s">
        <v>291</v>
      </c>
      <c r="D189" s="126" t="s">
        <v>67</v>
      </c>
      <c r="E189" s="73" t="str">
        <f>IFERROR(VLOOKUP(D189,'Daftar Akun'!A$6:$B$103,2,FALSE),"")</f>
        <v>Hutang Dagang</v>
      </c>
      <c r="F189" s="128"/>
      <c r="G189" s="127">
        <v>90000.0</v>
      </c>
      <c r="H189" s="34"/>
      <c r="I189" s="68">
        <f t="shared" si="1"/>
        <v>5</v>
      </c>
      <c r="J189" s="68" t="str">
        <f t="shared" si="2"/>
        <v>2101-5</v>
      </c>
      <c r="K189" s="71" t="str">
        <f>E188</f>
        <v>Pembelian Bunga</v>
      </c>
      <c r="L189" s="34" t="str">
        <f t="shared" si="3"/>
        <v>5101</v>
      </c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118">
        <v>46241.0</v>
      </c>
      <c r="B190" s="119" t="s">
        <v>292</v>
      </c>
      <c r="C190" s="120" t="s">
        <v>195</v>
      </c>
      <c r="D190" s="121" t="s">
        <v>93</v>
      </c>
      <c r="E190" s="43" t="str">
        <f>IFERROR(VLOOKUP(D190,'Daftar Akun'!A$6:$B$103,2,FALSE),"")</f>
        <v>Pembelian Bunga</v>
      </c>
      <c r="F190" s="122">
        <v>483000.0</v>
      </c>
      <c r="G190" s="129"/>
      <c r="H190" s="34"/>
      <c r="I190" s="68">
        <f t="shared" si="1"/>
        <v>35</v>
      </c>
      <c r="J190" s="68" t="str">
        <f t="shared" si="2"/>
        <v>5101-35</v>
      </c>
      <c r="K190" s="71" t="str">
        <f>E191</f>
        <v>Hutang Dagang</v>
      </c>
      <c r="L190" s="34" t="str">
        <f t="shared" si="3"/>
        <v>2101</v>
      </c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118">
        <v>46241.0</v>
      </c>
      <c r="B191" s="119" t="s">
        <v>292</v>
      </c>
      <c r="C191" s="120" t="s">
        <v>195</v>
      </c>
      <c r="D191" s="121" t="s">
        <v>67</v>
      </c>
      <c r="E191" s="43" t="str">
        <f>IFERROR(VLOOKUP(D191,'Daftar Akun'!A$6:$B$103,2,FALSE),"")</f>
        <v>Hutang Dagang</v>
      </c>
      <c r="F191" s="129"/>
      <c r="G191" s="122">
        <v>483000.0</v>
      </c>
      <c r="H191" s="34"/>
      <c r="I191" s="68">
        <f t="shared" si="1"/>
        <v>6</v>
      </c>
      <c r="J191" s="68" t="str">
        <f t="shared" si="2"/>
        <v>2101-6</v>
      </c>
      <c r="K191" s="71" t="str">
        <f>E190</f>
        <v>Pembelian Bunga</v>
      </c>
      <c r="L191" s="34" t="str">
        <f t="shared" si="3"/>
        <v>5101</v>
      </c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123">
        <v>46241.0</v>
      </c>
      <c r="B192" s="124" t="s">
        <v>293</v>
      </c>
      <c r="C192" s="125" t="s">
        <v>198</v>
      </c>
      <c r="D192" s="126" t="s">
        <v>36</v>
      </c>
      <c r="E192" s="73" t="str">
        <f>IFERROR(VLOOKUP(D192,'Daftar Akun'!A$6:$B$103,2,FALSE),"")</f>
        <v>Piutang Dagang</v>
      </c>
      <c r="F192" s="127">
        <v>240000.0</v>
      </c>
      <c r="G192" s="128"/>
      <c r="H192" s="34"/>
      <c r="I192" s="68">
        <f t="shared" si="1"/>
        <v>22</v>
      </c>
      <c r="J192" s="68" t="str">
        <f t="shared" si="2"/>
        <v>1103-22</v>
      </c>
      <c r="K192" s="71" t="str">
        <f>E193</f>
        <v>Penjualan</v>
      </c>
      <c r="L192" s="34" t="str">
        <f t="shared" si="3"/>
        <v>4101</v>
      </c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123">
        <v>46241.0</v>
      </c>
      <c r="B193" s="124" t="s">
        <v>293</v>
      </c>
      <c r="C193" s="125" t="s">
        <v>198</v>
      </c>
      <c r="D193" s="126" t="s">
        <v>80</v>
      </c>
      <c r="E193" s="73" t="str">
        <f>IFERROR(VLOOKUP(D193,'Daftar Akun'!A$6:$B$103,2,FALSE),"")</f>
        <v>Penjualan</v>
      </c>
      <c r="F193" s="128"/>
      <c r="G193" s="127">
        <v>240000.0</v>
      </c>
      <c r="H193" s="34"/>
      <c r="I193" s="68">
        <f t="shared" si="1"/>
        <v>22</v>
      </c>
      <c r="J193" s="68" t="str">
        <f t="shared" si="2"/>
        <v>4101-22</v>
      </c>
      <c r="K193" s="71" t="str">
        <f>E192</f>
        <v>Piutang Dagang</v>
      </c>
      <c r="L193" s="34" t="str">
        <f t="shared" si="3"/>
        <v>1103</v>
      </c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118">
        <v>46241.0</v>
      </c>
      <c r="B194" s="119" t="s">
        <v>294</v>
      </c>
      <c r="C194" s="120" t="s">
        <v>295</v>
      </c>
      <c r="D194" s="121" t="s">
        <v>36</v>
      </c>
      <c r="E194" s="43" t="str">
        <f>IFERROR(VLOOKUP(D194,'Daftar Akun'!A$6:$B$103,2,FALSE),"")</f>
        <v>Piutang Dagang</v>
      </c>
      <c r="F194" s="122">
        <v>1165000.0</v>
      </c>
      <c r="G194" s="129"/>
      <c r="H194" s="34"/>
      <c r="I194" s="68">
        <f t="shared" si="1"/>
        <v>23</v>
      </c>
      <c r="J194" s="68" t="str">
        <f t="shared" si="2"/>
        <v>1103-23</v>
      </c>
      <c r="K194" s="71" t="str">
        <f>E195</f>
        <v>Penjualan</v>
      </c>
      <c r="L194" s="34" t="str">
        <f t="shared" si="3"/>
        <v>4101</v>
      </c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118">
        <v>46241.0</v>
      </c>
      <c r="B195" s="119" t="s">
        <v>294</v>
      </c>
      <c r="C195" s="120" t="s">
        <v>295</v>
      </c>
      <c r="D195" s="121" t="s">
        <v>80</v>
      </c>
      <c r="E195" s="43" t="str">
        <f>IFERROR(VLOOKUP(D195,'Daftar Akun'!A$6:$B$103,2,FALSE),"")</f>
        <v>Penjualan</v>
      </c>
      <c r="F195" s="129"/>
      <c r="G195" s="122">
        <v>1165000.0</v>
      </c>
      <c r="H195" s="34"/>
      <c r="I195" s="68">
        <f t="shared" si="1"/>
        <v>23</v>
      </c>
      <c r="J195" s="68" t="str">
        <f t="shared" si="2"/>
        <v>4101-23</v>
      </c>
      <c r="K195" s="71" t="str">
        <f>E194</f>
        <v>Piutang Dagang</v>
      </c>
      <c r="L195" s="34" t="str">
        <f t="shared" si="3"/>
        <v>1103</v>
      </c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123">
        <v>46241.0</v>
      </c>
      <c r="B196" s="124" t="s">
        <v>296</v>
      </c>
      <c r="C196" s="125" t="s">
        <v>297</v>
      </c>
      <c r="D196" s="126" t="s">
        <v>36</v>
      </c>
      <c r="E196" s="73" t="str">
        <f>IFERROR(VLOOKUP(D196,'Daftar Akun'!A$6:$B$103,2,FALSE),"")</f>
        <v>Piutang Dagang</v>
      </c>
      <c r="F196" s="127">
        <v>920000.0</v>
      </c>
      <c r="G196" s="128"/>
      <c r="H196" s="34"/>
      <c r="I196" s="68">
        <f t="shared" si="1"/>
        <v>24</v>
      </c>
      <c r="J196" s="68" t="str">
        <f t="shared" si="2"/>
        <v>1103-24</v>
      </c>
      <c r="K196" s="71" t="str">
        <f>E197</f>
        <v>Penjualan</v>
      </c>
      <c r="L196" s="34" t="str">
        <f t="shared" si="3"/>
        <v>4101</v>
      </c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123">
        <v>46241.0</v>
      </c>
      <c r="B197" s="124" t="s">
        <v>296</v>
      </c>
      <c r="C197" s="125" t="s">
        <v>297</v>
      </c>
      <c r="D197" s="126" t="s">
        <v>80</v>
      </c>
      <c r="E197" s="73" t="str">
        <f>IFERROR(VLOOKUP(D197,'Daftar Akun'!A$6:$B$103,2,FALSE),"")</f>
        <v>Penjualan</v>
      </c>
      <c r="F197" s="128"/>
      <c r="G197" s="127">
        <v>920000.0</v>
      </c>
      <c r="H197" s="34"/>
      <c r="I197" s="68">
        <f t="shared" si="1"/>
        <v>24</v>
      </c>
      <c r="J197" s="68" t="str">
        <f t="shared" si="2"/>
        <v>4101-24</v>
      </c>
      <c r="K197" s="71" t="str">
        <f>E196</f>
        <v>Piutang Dagang</v>
      </c>
      <c r="L197" s="34" t="str">
        <f t="shared" si="3"/>
        <v>1103</v>
      </c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118">
        <v>46242.0</v>
      </c>
      <c r="B198" s="119" t="s">
        <v>290</v>
      </c>
      <c r="C198" s="120" t="s">
        <v>298</v>
      </c>
      <c r="D198" s="121" t="s">
        <v>67</v>
      </c>
      <c r="E198" s="43" t="str">
        <f>IFERROR(VLOOKUP(D198,'Daftar Akun'!A$6:$B$103,2,FALSE),"")</f>
        <v>Hutang Dagang</v>
      </c>
      <c r="F198" s="122">
        <v>90000.0</v>
      </c>
      <c r="G198" s="129"/>
      <c r="H198" s="34"/>
      <c r="I198" s="68">
        <f t="shared" si="1"/>
        <v>7</v>
      </c>
      <c r="J198" s="68" t="str">
        <f t="shared" si="2"/>
        <v>2101-7</v>
      </c>
      <c r="K198" s="71" t="str">
        <f>E199</f>
        <v>Bank</v>
      </c>
      <c r="L198" s="34" t="str">
        <f t="shared" si="3"/>
        <v>1102</v>
      </c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118">
        <v>46242.0</v>
      </c>
      <c r="B199" s="119" t="s">
        <v>290</v>
      </c>
      <c r="C199" s="120" t="s">
        <v>298</v>
      </c>
      <c r="D199" s="121" t="s">
        <v>33</v>
      </c>
      <c r="E199" s="43" t="str">
        <f>IFERROR(VLOOKUP(D199,'Daftar Akun'!A$6:$B$103,2,FALSE),"")</f>
        <v>Bank</v>
      </c>
      <c r="F199" s="129"/>
      <c r="G199" s="122">
        <v>90000.0</v>
      </c>
      <c r="H199" s="34"/>
      <c r="I199" s="68">
        <f t="shared" si="1"/>
        <v>45</v>
      </c>
      <c r="J199" s="68" t="str">
        <f t="shared" si="2"/>
        <v>1102-45</v>
      </c>
      <c r="K199" s="71" t="str">
        <f>E198</f>
        <v>Hutang Dagang</v>
      </c>
      <c r="L199" s="34" t="str">
        <f t="shared" si="3"/>
        <v>2101</v>
      </c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123">
        <v>46242.0</v>
      </c>
      <c r="B200" s="130"/>
      <c r="C200" s="125" t="s">
        <v>203</v>
      </c>
      <c r="D200" s="126" t="s">
        <v>93</v>
      </c>
      <c r="E200" s="73" t="str">
        <f>IFERROR(VLOOKUP(D200,'Daftar Akun'!A$6:$B$103,2,FALSE),"")</f>
        <v>Pembelian Bunga</v>
      </c>
      <c r="F200" s="127">
        <v>285000.0</v>
      </c>
      <c r="G200" s="128"/>
      <c r="H200" s="34"/>
      <c r="I200" s="68">
        <f t="shared" si="1"/>
        <v>36</v>
      </c>
      <c r="J200" s="68" t="str">
        <f t="shared" si="2"/>
        <v>5101-36</v>
      </c>
      <c r="K200" s="71" t="str">
        <f>E201</f>
        <v>Bank</v>
      </c>
      <c r="L200" s="34" t="str">
        <f t="shared" si="3"/>
        <v>1102</v>
      </c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123">
        <v>46242.0</v>
      </c>
      <c r="B201" s="130"/>
      <c r="C201" s="125" t="s">
        <v>203</v>
      </c>
      <c r="D201" s="126" t="s">
        <v>33</v>
      </c>
      <c r="E201" s="73" t="str">
        <f>IFERROR(VLOOKUP(D201,'Daftar Akun'!A$6:$B$103,2,FALSE),"")</f>
        <v>Bank</v>
      </c>
      <c r="F201" s="128"/>
      <c r="G201" s="127">
        <v>285000.0</v>
      </c>
      <c r="H201" s="34"/>
      <c r="I201" s="68">
        <f t="shared" si="1"/>
        <v>46</v>
      </c>
      <c r="J201" s="68" t="str">
        <f t="shared" si="2"/>
        <v>1102-46</v>
      </c>
      <c r="K201" s="71" t="str">
        <f>E200</f>
        <v>Pembelian Bunga</v>
      </c>
      <c r="L201" s="34" t="str">
        <f t="shared" si="3"/>
        <v>5101</v>
      </c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118">
        <v>46242.0</v>
      </c>
      <c r="B202" s="131"/>
      <c r="C202" s="120" t="s">
        <v>299</v>
      </c>
      <c r="D202" s="121" t="s">
        <v>93</v>
      </c>
      <c r="E202" s="43" t="str">
        <f>IFERROR(VLOOKUP(D202,'Daftar Akun'!A$6:$B$103,2,FALSE),"")</f>
        <v>Pembelian Bunga</v>
      </c>
      <c r="F202" s="122">
        <v>10000.0</v>
      </c>
      <c r="G202" s="129"/>
      <c r="H202" s="34"/>
      <c r="I202" s="68">
        <f t="shared" si="1"/>
        <v>37</v>
      </c>
      <c r="J202" s="68" t="str">
        <f t="shared" si="2"/>
        <v>5101-37</v>
      </c>
      <c r="K202" s="71" t="str">
        <f>E203</f>
        <v>Bank</v>
      </c>
      <c r="L202" s="34" t="str">
        <f t="shared" si="3"/>
        <v>1102</v>
      </c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118">
        <v>46242.0</v>
      </c>
      <c r="B203" s="131"/>
      <c r="C203" s="120" t="s">
        <v>299</v>
      </c>
      <c r="D203" s="121" t="s">
        <v>33</v>
      </c>
      <c r="E203" s="43" t="str">
        <f>IFERROR(VLOOKUP(D203,'Daftar Akun'!A$6:$B$103,2,FALSE),"")</f>
        <v>Bank</v>
      </c>
      <c r="F203" s="129"/>
      <c r="G203" s="122">
        <v>10000.0</v>
      </c>
      <c r="H203" s="34"/>
      <c r="I203" s="68">
        <f t="shared" si="1"/>
        <v>47</v>
      </c>
      <c r="J203" s="68" t="str">
        <f t="shared" si="2"/>
        <v>1102-47</v>
      </c>
      <c r="K203" s="71" t="str">
        <f>E202</f>
        <v>Pembelian Bunga</v>
      </c>
      <c r="L203" s="34" t="str">
        <f t="shared" si="3"/>
        <v>5101</v>
      </c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123">
        <v>46242.0</v>
      </c>
      <c r="B204" s="130"/>
      <c r="C204" s="125" t="s">
        <v>300</v>
      </c>
      <c r="D204" s="126" t="s">
        <v>51</v>
      </c>
      <c r="E204" s="73" t="str">
        <f>IFERROR(VLOOKUP(D204,'Daftar Akun'!A$6:$B$103,2,FALSE),"")</f>
        <v>Piutang Ongkir</v>
      </c>
      <c r="F204" s="127">
        <v>886717.0</v>
      </c>
      <c r="G204" s="128"/>
      <c r="H204" s="34"/>
      <c r="I204" s="68">
        <f t="shared" si="1"/>
        <v>15</v>
      </c>
      <c r="J204" s="68" t="str">
        <f t="shared" si="2"/>
        <v>1107-15</v>
      </c>
      <c r="K204" s="71" t="str">
        <f>E205</f>
        <v>Bank</v>
      </c>
      <c r="L204" s="34" t="str">
        <f t="shared" si="3"/>
        <v>1102</v>
      </c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123">
        <v>46242.0</v>
      </c>
      <c r="B205" s="130"/>
      <c r="C205" s="125" t="s">
        <v>300</v>
      </c>
      <c r="D205" s="126" t="s">
        <v>33</v>
      </c>
      <c r="E205" s="73" t="str">
        <f>IFERROR(VLOOKUP(D205,'Daftar Akun'!A$6:$B$103,2,FALSE),"")</f>
        <v>Bank</v>
      </c>
      <c r="F205" s="128"/>
      <c r="G205" s="127">
        <v>886717.0</v>
      </c>
      <c r="H205" s="34"/>
      <c r="I205" s="68">
        <f t="shared" si="1"/>
        <v>48</v>
      </c>
      <c r="J205" s="68" t="str">
        <f t="shared" si="2"/>
        <v>1102-48</v>
      </c>
      <c r="K205" s="71" t="str">
        <f>E204</f>
        <v>Piutang Ongkir</v>
      </c>
      <c r="L205" s="34" t="str">
        <f t="shared" si="3"/>
        <v>1107</v>
      </c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118">
        <v>46242.0</v>
      </c>
      <c r="B206" s="131"/>
      <c r="C206" s="120" t="s">
        <v>301</v>
      </c>
      <c r="D206" s="121" t="s">
        <v>63</v>
      </c>
      <c r="E206" s="43" t="str">
        <f>IFERROR(VLOOKUP(D206,'Daftar Akun'!A$6:$B$103,2,FALSE),"")</f>
        <v>Gaji Bayar di Muka</v>
      </c>
      <c r="F206" s="122">
        <v>500000.0</v>
      </c>
      <c r="G206" s="129"/>
      <c r="H206" s="34"/>
      <c r="I206" s="68">
        <f t="shared" si="1"/>
        <v>1</v>
      </c>
      <c r="J206" s="68" t="str">
        <f t="shared" si="2"/>
        <v>1111-1</v>
      </c>
      <c r="K206" s="71" t="str">
        <f>E207</f>
        <v>Bank</v>
      </c>
      <c r="L206" s="34" t="str">
        <f t="shared" si="3"/>
        <v>1102</v>
      </c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118">
        <v>46242.0</v>
      </c>
      <c r="B207" s="131"/>
      <c r="C207" s="120" t="s">
        <v>301</v>
      </c>
      <c r="D207" s="121" t="s">
        <v>33</v>
      </c>
      <c r="E207" s="43" t="str">
        <f>IFERROR(VLOOKUP(D207,'Daftar Akun'!A$6:$B$103,2,FALSE),"")</f>
        <v>Bank</v>
      </c>
      <c r="F207" s="129"/>
      <c r="G207" s="122">
        <v>500000.0</v>
      </c>
      <c r="H207" s="34"/>
      <c r="I207" s="68">
        <f t="shared" si="1"/>
        <v>49</v>
      </c>
      <c r="J207" s="68" t="str">
        <f t="shared" si="2"/>
        <v>1102-49</v>
      </c>
      <c r="K207" s="71" t="str">
        <f>E206</f>
        <v>Gaji Bayar di Muka</v>
      </c>
      <c r="L207" s="34" t="str">
        <f t="shared" si="3"/>
        <v>1111</v>
      </c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123">
        <v>46242.0</v>
      </c>
      <c r="B208" s="130"/>
      <c r="C208" s="125" t="s">
        <v>302</v>
      </c>
      <c r="D208" s="126" t="s">
        <v>105</v>
      </c>
      <c r="E208" s="73" t="str">
        <f>IFERROR(VLOOKUP(D208,'Daftar Akun'!A$6:$B$103,2,FALSE),"")</f>
        <v>Beban Gaji</v>
      </c>
      <c r="F208" s="127">
        <v>500000.0</v>
      </c>
      <c r="G208" s="128"/>
      <c r="H208" s="34"/>
      <c r="I208" s="68">
        <f t="shared" si="1"/>
        <v>1</v>
      </c>
      <c r="J208" s="68" t="str">
        <f t="shared" si="2"/>
        <v>6101-1</v>
      </c>
      <c r="K208" s="71" t="str">
        <f>E209</f>
        <v>Bank</v>
      </c>
      <c r="L208" s="34" t="str">
        <f t="shared" si="3"/>
        <v>1102</v>
      </c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123">
        <v>46242.0</v>
      </c>
      <c r="B209" s="130"/>
      <c r="C209" s="125" t="s">
        <v>302</v>
      </c>
      <c r="D209" s="126" t="s">
        <v>33</v>
      </c>
      <c r="E209" s="73" t="str">
        <f>IFERROR(VLOOKUP(D209,'Daftar Akun'!A$6:$B$103,2,FALSE),"")</f>
        <v>Bank</v>
      </c>
      <c r="F209" s="128"/>
      <c r="G209" s="127">
        <v>500000.0</v>
      </c>
      <c r="H209" s="34"/>
      <c r="I209" s="68">
        <f t="shared" si="1"/>
        <v>50</v>
      </c>
      <c r="J209" s="68" t="str">
        <f t="shared" si="2"/>
        <v>1102-50</v>
      </c>
      <c r="K209" s="71" t="str">
        <f>E208</f>
        <v>Beban Gaji</v>
      </c>
      <c r="L209" s="34" t="str">
        <f t="shared" si="3"/>
        <v>6101</v>
      </c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118">
        <v>46242.0</v>
      </c>
      <c r="B210" s="131"/>
      <c r="C210" s="120" t="s">
        <v>303</v>
      </c>
      <c r="D210" s="121" t="s">
        <v>33</v>
      </c>
      <c r="E210" s="43" t="str">
        <f>IFERROR(VLOOKUP(D210,'Daftar Akun'!A$6:$B$103,2,FALSE),"")</f>
        <v>Bank</v>
      </c>
      <c r="F210" s="122">
        <v>886717.0</v>
      </c>
      <c r="G210" s="129"/>
      <c r="H210" s="34"/>
      <c r="I210" s="68">
        <f t="shared" si="1"/>
        <v>51</v>
      </c>
      <c r="J210" s="68" t="str">
        <f t="shared" si="2"/>
        <v>1102-51</v>
      </c>
      <c r="K210" s="71" t="str">
        <f>E211</f>
        <v>Piutang Ongkir</v>
      </c>
      <c r="L210" s="34" t="str">
        <f t="shared" si="3"/>
        <v>1107</v>
      </c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118">
        <v>46242.0</v>
      </c>
      <c r="B211" s="131"/>
      <c r="C211" s="120" t="s">
        <v>303</v>
      </c>
      <c r="D211" s="121" t="s">
        <v>51</v>
      </c>
      <c r="E211" s="43" t="str">
        <f>IFERROR(VLOOKUP(D211,'Daftar Akun'!A$6:$B$103,2,FALSE),"")</f>
        <v>Piutang Ongkir</v>
      </c>
      <c r="F211" s="129"/>
      <c r="G211" s="122">
        <v>886717.0</v>
      </c>
      <c r="H211" s="34"/>
      <c r="I211" s="68">
        <f t="shared" si="1"/>
        <v>16</v>
      </c>
      <c r="J211" s="68" t="str">
        <f t="shared" si="2"/>
        <v>1107-16</v>
      </c>
      <c r="K211" s="71" t="str">
        <f>E210</f>
        <v>Bank</v>
      </c>
      <c r="L211" s="34" t="str">
        <f t="shared" si="3"/>
        <v>1102</v>
      </c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123">
        <v>46242.0</v>
      </c>
      <c r="B212" s="130"/>
      <c r="C212" s="125" t="s">
        <v>304</v>
      </c>
      <c r="D212" s="126" t="s">
        <v>33</v>
      </c>
      <c r="E212" s="73" t="str">
        <f>IFERROR(VLOOKUP(D212,'Daftar Akun'!A$6:$B$103,2,FALSE),"")</f>
        <v>Bank</v>
      </c>
      <c r="F212" s="127">
        <v>2085000.0</v>
      </c>
      <c r="G212" s="128"/>
      <c r="H212" s="34"/>
      <c r="I212" s="68">
        <f t="shared" si="1"/>
        <v>52</v>
      </c>
      <c r="J212" s="68" t="str">
        <f t="shared" si="2"/>
        <v>1102-52</v>
      </c>
      <c r="K212" s="71" t="str">
        <f>E213</f>
        <v>Piutang Dagang</v>
      </c>
      <c r="L212" s="34" t="str">
        <f t="shared" si="3"/>
        <v>1103</v>
      </c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123">
        <v>46242.0</v>
      </c>
      <c r="B213" s="130"/>
      <c r="C213" s="125" t="s">
        <v>304</v>
      </c>
      <c r="D213" s="126" t="s">
        <v>36</v>
      </c>
      <c r="E213" s="73" t="str">
        <f>IFERROR(VLOOKUP(D213,'Daftar Akun'!A$6:$B$103,2,FALSE),"")</f>
        <v>Piutang Dagang</v>
      </c>
      <c r="F213" s="128"/>
      <c r="G213" s="127">
        <v>2085000.0</v>
      </c>
      <c r="H213" s="34"/>
      <c r="I213" s="68">
        <f t="shared" si="1"/>
        <v>25</v>
      </c>
      <c r="J213" s="68" t="str">
        <f t="shared" si="2"/>
        <v>1103-25</v>
      </c>
      <c r="K213" s="71" t="str">
        <f>E212</f>
        <v>Bank</v>
      </c>
      <c r="L213" s="34" t="str">
        <f t="shared" si="3"/>
        <v>1102</v>
      </c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118">
        <v>46242.0</v>
      </c>
      <c r="B214" s="119" t="s">
        <v>305</v>
      </c>
      <c r="C214" s="120" t="s">
        <v>242</v>
      </c>
      <c r="D214" s="121" t="s">
        <v>36</v>
      </c>
      <c r="E214" s="43" t="str">
        <f>IFERROR(VLOOKUP(D214,'Daftar Akun'!A$6:$B$103,2,FALSE),"")</f>
        <v>Piutang Dagang</v>
      </c>
      <c r="F214" s="122">
        <v>1176250.0</v>
      </c>
      <c r="G214" s="129"/>
      <c r="H214" s="34"/>
      <c r="I214" s="68">
        <f t="shared" si="1"/>
        <v>26</v>
      </c>
      <c r="J214" s="68" t="str">
        <f t="shared" si="2"/>
        <v>1103-26</v>
      </c>
      <c r="K214" s="71" t="str">
        <f>E215</f>
        <v>Penjualan</v>
      </c>
      <c r="L214" s="34" t="str">
        <f t="shared" si="3"/>
        <v>4101</v>
      </c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118">
        <v>46242.0</v>
      </c>
      <c r="B215" s="119" t="s">
        <v>305</v>
      </c>
      <c r="C215" s="120" t="s">
        <v>242</v>
      </c>
      <c r="D215" s="121" t="s">
        <v>80</v>
      </c>
      <c r="E215" s="43" t="str">
        <f>IFERROR(VLOOKUP(D215,'Daftar Akun'!A$6:$B$103,2,FALSE),"")</f>
        <v>Penjualan</v>
      </c>
      <c r="F215" s="129"/>
      <c r="G215" s="122">
        <v>1176250.0</v>
      </c>
      <c r="H215" s="34"/>
      <c r="I215" s="68">
        <f t="shared" si="1"/>
        <v>25</v>
      </c>
      <c r="J215" s="68" t="str">
        <f t="shared" si="2"/>
        <v>4101-25</v>
      </c>
      <c r="K215" s="71" t="str">
        <f>E214</f>
        <v>Piutang Dagang</v>
      </c>
      <c r="L215" s="34" t="str">
        <f t="shared" si="3"/>
        <v>1103</v>
      </c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123">
        <v>46242.0</v>
      </c>
      <c r="B216" s="124" t="s">
        <v>306</v>
      </c>
      <c r="C216" s="125" t="s">
        <v>213</v>
      </c>
      <c r="D216" s="126" t="s">
        <v>121</v>
      </c>
      <c r="E216" s="73" t="str">
        <f>IFERROR(VLOOKUP(D216,'Daftar Akun'!A$6:$B$103,2,FALSE),"")</f>
        <v>Beban Lain-Lain</v>
      </c>
      <c r="F216" s="127">
        <v>30000.0</v>
      </c>
      <c r="G216" s="128"/>
      <c r="H216" s="34"/>
      <c r="I216" s="68">
        <f t="shared" si="1"/>
        <v>7</v>
      </c>
      <c r="J216" s="68" t="str">
        <f t="shared" si="2"/>
        <v>6108-7</v>
      </c>
      <c r="K216" s="71" t="str">
        <f>E217</f>
        <v>Kas</v>
      </c>
      <c r="L216" s="34" t="str">
        <f t="shared" si="3"/>
        <v>1101</v>
      </c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123">
        <v>46242.0</v>
      </c>
      <c r="B217" s="124" t="s">
        <v>306</v>
      </c>
      <c r="C217" s="125" t="s">
        <v>213</v>
      </c>
      <c r="D217" s="126" t="s">
        <v>18</v>
      </c>
      <c r="E217" s="73" t="str">
        <f>IFERROR(VLOOKUP(D217,'Daftar Akun'!A$6:$B$103,2,FALSE),"")</f>
        <v>Kas</v>
      </c>
      <c r="F217" s="128"/>
      <c r="G217" s="127">
        <v>30000.0</v>
      </c>
      <c r="H217" s="34"/>
      <c r="I217" s="68">
        <f t="shared" si="1"/>
        <v>30</v>
      </c>
      <c r="J217" s="68" t="str">
        <f t="shared" si="2"/>
        <v>1101-30</v>
      </c>
      <c r="K217" s="71" t="str">
        <f>E216</f>
        <v>Beban Lain-Lain</v>
      </c>
      <c r="L217" s="34" t="str">
        <f t="shared" si="3"/>
        <v>6108</v>
      </c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118">
        <v>46242.0</v>
      </c>
      <c r="B218" s="119" t="s">
        <v>307</v>
      </c>
      <c r="C218" s="120" t="s">
        <v>308</v>
      </c>
      <c r="D218" s="121" t="s">
        <v>93</v>
      </c>
      <c r="E218" s="43" t="str">
        <f>IFERROR(VLOOKUP(D218,'Daftar Akun'!A$6:$B$103,2,FALSE),"")</f>
        <v>Pembelian Bunga</v>
      </c>
      <c r="F218" s="122">
        <v>25000.0</v>
      </c>
      <c r="G218" s="129"/>
      <c r="H218" s="34"/>
      <c r="I218" s="68">
        <f t="shared" si="1"/>
        <v>38</v>
      </c>
      <c r="J218" s="68" t="str">
        <f t="shared" si="2"/>
        <v>5101-38</v>
      </c>
      <c r="K218" s="71" t="str">
        <f>E219</f>
        <v>Kas</v>
      </c>
      <c r="L218" s="34" t="str">
        <f t="shared" si="3"/>
        <v>1101</v>
      </c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118">
        <v>46242.0</v>
      </c>
      <c r="B219" s="119" t="s">
        <v>307</v>
      </c>
      <c r="C219" s="120" t="s">
        <v>308</v>
      </c>
      <c r="D219" s="121" t="s">
        <v>18</v>
      </c>
      <c r="E219" s="43" t="str">
        <f>IFERROR(VLOOKUP(D219,'Daftar Akun'!A$6:$B$103,2,FALSE),"")</f>
        <v>Kas</v>
      </c>
      <c r="F219" s="129"/>
      <c r="G219" s="122">
        <v>25000.0</v>
      </c>
      <c r="H219" s="34"/>
      <c r="I219" s="68">
        <f t="shared" si="1"/>
        <v>31</v>
      </c>
      <c r="J219" s="68" t="str">
        <f t="shared" si="2"/>
        <v>1101-31</v>
      </c>
      <c r="K219" s="71" t="str">
        <f>E218</f>
        <v>Pembelian Bunga</v>
      </c>
      <c r="L219" s="34" t="str">
        <f t="shared" si="3"/>
        <v>5101</v>
      </c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118">
        <v>46242.0</v>
      </c>
      <c r="B220" s="119" t="s">
        <v>309</v>
      </c>
      <c r="C220" s="120" t="s">
        <v>233</v>
      </c>
      <c r="D220" s="121" t="s">
        <v>93</v>
      </c>
      <c r="E220" s="43" t="str">
        <f>IFERROR(VLOOKUP(D220,'Daftar Akun'!A$6:$B$103,2,FALSE),"")</f>
        <v>Pembelian Bunga</v>
      </c>
      <c r="F220" s="122">
        <v>66000.0</v>
      </c>
      <c r="G220" s="129"/>
      <c r="H220" s="34"/>
      <c r="I220" s="68">
        <f t="shared" si="1"/>
        <v>39</v>
      </c>
      <c r="J220" s="68" t="str">
        <f t="shared" si="2"/>
        <v>5101-39</v>
      </c>
      <c r="K220" s="71" t="str">
        <f>E221</f>
        <v>Kas</v>
      </c>
      <c r="L220" s="34" t="str">
        <f t="shared" si="3"/>
        <v>1101</v>
      </c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>
      <c r="A221" s="118">
        <v>46242.0</v>
      </c>
      <c r="B221" s="119" t="s">
        <v>309</v>
      </c>
      <c r="C221" s="120" t="s">
        <v>233</v>
      </c>
      <c r="D221" s="121" t="s">
        <v>18</v>
      </c>
      <c r="E221" s="43" t="str">
        <f>IFERROR(VLOOKUP(D221,'Daftar Akun'!A$6:$B$103,2,FALSE),"")</f>
        <v>Kas</v>
      </c>
      <c r="F221" s="129"/>
      <c r="G221" s="122">
        <v>66000.0</v>
      </c>
      <c r="H221" s="34"/>
      <c r="I221" s="68">
        <f t="shared" si="1"/>
        <v>32</v>
      </c>
      <c r="J221" s="68" t="str">
        <f t="shared" si="2"/>
        <v>1101-32</v>
      </c>
      <c r="K221" s="71" t="str">
        <f>E220</f>
        <v>Pembelian Bunga</v>
      </c>
      <c r="L221" s="34" t="str">
        <f t="shared" si="3"/>
        <v>5101</v>
      </c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5.75" customHeight="1">
      <c r="A222" s="118">
        <v>46242.0</v>
      </c>
      <c r="B222" s="131"/>
      <c r="C222" s="120" t="s">
        <v>310</v>
      </c>
      <c r="D222" s="121" t="s">
        <v>105</v>
      </c>
      <c r="E222" s="43" t="str">
        <f>IFERROR(VLOOKUP(D222,'Daftar Akun'!A$6:$B$103,2,FALSE),"")</f>
        <v>Beban Gaji</v>
      </c>
      <c r="F222" s="122">
        <v>375000.0</v>
      </c>
      <c r="G222" s="129"/>
      <c r="H222" s="34"/>
      <c r="I222" s="68">
        <f t="shared" si="1"/>
        <v>2</v>
      </c>
      <c r="J222" s="68" t="str">
        <f t="shared" si="2"/>
        <v>6101-2</v>
      </c>
      <c r="K222" s="71" t="str">
        <f>E223</f>
        <v>Kas</v>
      </c>
      <c r="L222" s="34" t="str">
        <f t="shared" si="3"/>
        <v>1101</v>
      </c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5.75" customHeight="1">
      <c r="A223" s="118">
        <v>46242.0</v>
      </c>
      <c r="B223" s="131"/>
      <c r="C223" s="120" t="s">
        <v>310</v>
      </c>
      <c r="D223" s="121" t="s">
        <v>18</v>
      </c>
      <c r="E223" s="43" t="str">
        <f>IFERROR(VLOOKUP(D223,'Daftar Akun'!A$6:$B$103,2,FALSE),"")</f>
        <v>Kas</v>
      </c>
      <c r="F223" s="129"/>
      <c r="G223" s="122">
        <v>375000.0</v>
      </c>
      <c r="H223" s="34"/>
      <c r="I223" s="68">
        <f t="shared" si="1"/>
        <v>33</v>
      </c>
      <c r="J223" s="68" t="str">
        <f t="shared" si="2"/>
        <v>1101-33</v>
      </c>
      <c r="K223" s="71" t="str">
        <f>E222</f>
        <v>Beban Gaji</v>
      </c>
      <c r="L223" s="34" t="str">
        <f t="shared" si="3"/>
        <v>6101</v>
      </c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5.75" customHeight="1">
      <c r="A224" s="118">
        <v>46242.0</v>
      </c>
      <c r="B224" s="131"/>
      <c r="C224" s="120" t="s">
        <v>275</v>
      </c>
      <c r="D224" s="121" t="s">
        <v>77</v>
      </c>
      <c r="E224" s="43" t="str">
        <f>IFERROR(VLOOKUP(D224,'Daftar Akun'!A$6:$B$103,2,FALSE),"")</f>
        <v>Prive</v>
      </c>
      <c r="F224" s="122">
        <v>10000.0</v>
      </c>
      <c r="G224" s="129"/>
      <c r="H224" s="34"/>
      <c r="I224" s="68">
        <f t="shared" si="1"/>
        <v>3</v>
      </c>
      <c r="J224" s="68" t="str">
        <f t="shared" si="2"/>
        <v>3102-3</v>
      </c>
      <c r="K224" s="71" t="str">
        <f>E225</f>
        <v>Kas</v>
      </c>
      <c r="L224" s="34" t="str">
        <f t="shared" si="3"/>
        <v>1101</v>
      </c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5.75" customHeight="1">
      <c r="A225" s="118">
        <v>46242.0</v>
      </c>
      <c r="B225" s="131"/>
      <c r="C225" s="120" t="s">
        <v>275</v>
      </c>
      <c r="D225" s="121" t="s">
        <v>18</v>
      </c>
      <c r="E225" s="43" t="str">
        <f>IFERROR(VLOOKUP(D225,'Daftar Akun'!A$6:$B$103,2,FALSE),"")</f>
        <v>Kas</v>
      </c>
      <c r="F225" s="129"/>
      <c r="G225" s="122">
        <v>10000.0</v>
      </c>
      <c r="H225" s="34"/>
      <c r="I225" s="68">
        <f t="shared" si="1"/>
        <v>34</v>
      </c>
      <c r="J225" s="68" t="str">
        <f t="shared" si="2"/>
        <v>1101-34</v>
      </c>
      <c r="K225" s="71" t="str">
        <f>E224</f>
        <v>Prive</v>
      </c>
      <c r="L225" s="34" t="str">
        <f t="shared" si="3"/>
        <v>3102</v>
      </c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5.75" customHeight="1">
      <c r="A226" s="118">
        <v>46242.0</v>
      </c>
      <c r="B226" s="119" t="s">
        <v>311</v>
      </c>
      <c r="C226" s="120" t="s">
        <v>195</v>
      </c>
      <c r="D226" s="121" t="s">
        <v>93</v>
      </c>
      <c r="E226" s="43" t="str">
        <f>IFERROR(VLOOKUP(D226,'Daftar Akun'!A$6:$B$103,2,FALSE),"")</f>
        <v>Pembelian Bunga</v>
      </c>
      <c r="F226" s="122">
        <v>268000.0</v>
      </c>
      <c r="G226" s="129"/>
      <c r="H226" s="34"/>
      <c r="I226" s="68">
        <f t="shared" si="1"/>
        <v>40</v>
      </c>
      <c r="J226" s="68" t="str">
        <f t="shared" si="2"/>
        <v>5101-40</v>
      </c>
      <c r="K226" s="71" t="str">
        <f>E227</f>
        <v>Hutang Dagang</v>
      </c>
      <c r="L226" s="34" t="str">
        <f t="shared" si="3"/>
        <v>2101</v>
      </c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5.75" customHeight="1">
      <c r="A227" s="118">
        <v>46242.0</v>
      </c>
      <c r="B227" s="119" t="s">
        <v>311</v>
      </c>
      <c r="C227" s="120" t="s">
        <v>195</v>
      </c>
      <c r="D227" s="121" t="s">
        <v>67</v>
      </c>
      <c r="E227" s="43" t="str">
        <f>IFERROR(VLOOKUP(D227,'Daftar Akun'!A$6:$B$103,2,FALSE),"")</f>
        <v>Hutang Dagang</v>
      </c>
      <c r="F227" s="129"/>
      <c r="G227" s="122">
        <v>268000.0</v>
      </c>
      <c r="H227" s="34"/>
      <c r="I227" s="68">
        <f t="shared" si="1"/>
        <v>8</v>
      </c>
      <c r="J227" s="68" t="str">
        <f t="shared" si="2"/>
        <v>2101-8</v>
      </c>
      <c r="K227" s="71" t="str">
        <f>E226</f>
        <v>Pembelian Bunga</v>
      </c>
      <c r="L227" s="34" t="str">
        <f t="shared" si="3"/>
        <v>5101</v>
      </c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5.75" customHeight="1">
      <c r="A228" s="118">
        <v>46243.0</v>
      </c>
      <c r="B228" s="131"/>
      <c r="C228" s="120" t="s">
        <v>312</v>
      </c>
      <c r="D228" s="121" t="s">
        <v>51</v>
      </c>
      <c r="E228" s="43" t="str">
        <f>IFERROR(VLOOKUP(D228,'Daftar Akun'!A$6:$B$103,2,FALSE),"")</f>
        <v>Piutang Ongkir</v>
      </c>
      <c r="F228" s="122">
        <v>1154360.0</v>
      </c>
      <c r="G228" s="129"/>
      <c r="H228" s="34"/>
      <c r="I228" s="68">
        <f t="shared" si="1"/>
        <v>17</v>
      </c>
      <c r="J228" s="68" t="str">
        <f t="shared" si="2"/>
        <v>1107-17</v>
      </c>
      <c r="K228" s="71" t="str">
        <f>E229</f>
        <v>Bank</v>
      </c>
      <c r="L228" s="34" t="str">
        <f t="shared" si="3"/>
        <v>1102</v>
      </c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5.75" customHeight="1">
      <c r="A229" s="118">
        <v>46243.0</v>
      </c>
      <c r="B229" s="131"/>
      <c r="C229" s="120" t="s">
        <v>312</v>
      </c>
      <c r="D229" s="121" t="s">
        <v>33</v>
      </c>
      <c r="E229" s="43" t="str">
        <f>IFERROR(VLOOKUP(D229,'Daftar Akun'!A$6:$B$103,2,FALSE),"")</f>
        <v>Bank</v>
      </c>
      <c r="F229" s="129"/>
      <c r="G229" s="122">
        <v>1154360.0</v>
      </c>
      <c r="H229" s="34"/>
      <c r="I229" s="68">
        <f t="shared" si="1"/>
        <v>53</v>
      </c>
      <c r="J229" s="68" t="str">
        <f t="shared" si="2"/>
        <v>1102-53</v>
      </c>
      <c r="K229" s="71" t="str">
        <f>E228</f>
        <v>Piutang Ongkir</v>
      </c>
      <c r="L229" s="34" t="str">
        <f t="shared" si="3"/>
        <v>1107</v>
      </c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5.75" customHeight="1">
      <c r="A230" s="118">
        <v>46243.0</v>
      </c>
      <c r="B230" s="119" t="s">
        <v>313</v>
      </c>
      <c r="C230" s="120" t="s">
        <v>314</v>
      </c>
      <c r="D230" s="121" t="s">
        <v>33</v>
      </c>
      <c r="E230" s="43" t="str">
        <f>IFERROR(VLOOKUP(D230,'Daftar Akun'!A$6:$B$103,2,FALSE),"")</f>
        <v>Bank</v>
      </c>
      <c r="F230" s="122">
        <v>32000.0</v>
      </c>
      <c r="G230" s="129"/>
      <c r="H230" s="34"/>
      <c r="I230" s="68">
        <f t="shared" si="1"/>
        <v>54</v>
      </c>
      <c r="J230" s="68" t="str">
        <f t="shared" si="2"/>
        <v>1102-54</v>
      </c>
      <c r="K230" s="71" t="str">
        <f>E231</f>
        <v>Penjualan</v>
      </c>
      <c r="L230" s="34" t="str">
        <f t="shared" si="3"/>
        <v>4101</v>
      </c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5.75" customHeight="1">
      <c r="A231" s="118">
        <v>46243.0</v>
      </c>
      <c r="B231" s="119" t="s">
        <v>313</v>
      </c>
      <c r="C231" s="120" t="s">
        <v>314</v>
      </c>
      <c r="D231" s="121" t="s">
        <v>80</v>
      </c>
      <c r="E231" s="43" t="str">
        <f>IFERROR(VLOOKUP(D231,'Daftar Akun'!A$6:$B$103,2,FALSE),"")</f>
        <v>Penjualan</v>
      </c>
      <c r="F231" s="129"/>
      <c r="G231" s="122">
        <v>32000.0</v>
      </c>
      <c r="H231" s="34"/>
      <c r="I231" s="68">
        <f t="shared" si="1"/>
        <v>26</v>
      </c>
      <c r="J231" s="68" t="str">
        <f t="shared" si="2"/>
        <v>4101-26</v>
      </c>
      <c r="K231" s="71" t="str">
        <f>E230</f>
        <v>Bank</v>
      </c>
      <c r="L231" s="34" t="str">
        <f t="shared" si="3"/>
        <v>1102</v>
      </c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5.75" customHeight="1">
      <c r="A232" s="118">
        <v>46243.0</v>
      </c>
      <c r="B232" s="131"/>
      <c r="C232" s="120" t="s">
        <v>315</v>
      </c>
      <c r="D232" s="121" t="s">
        <v>33</v>
      </c>
      <c r="E232" s="43" t="str">
        <f>IFERROR(VLOOKUP(D232,'Daftar Akun'!A$6:$B$103,2,FALSE),"")</f>
        <v>Bank</v>
      </c>
      <c r="F232" s="122">
        <v>1154360.0</v>
      </c>
      <c r="G232" s="129"/>
      <c r="H232" s="34"/>
      <c r="I232" s="68">
        <f t="shared" si="1"/>
        <v>55</v>
      </c>
      <c r="J232" s="68" t="str">
        <f t="shared" si="2"/>
        <v>1102-55</v>
      </c>
      <c r="K232" s="71" t="str">
        <f>E233</f>
        <v>Piutang Ongkir</v>
      </c>
      <c r="L232" s="34" t="str">
        <f t="shared" si="3"/>
        <v>1107</v>
      </c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5.75" customHeight="1">
      <c r="A233" s="118">
        <v>46243.0</v>
      </c>
      <c r="B233" s="131"/>
      <c r="C233" s="120" t="s">
        <v>315</v>
      </c>
      <c r="D233" s="121" t="s">
        <v>51</v>
      </c>
      <c r="E233" s="43" t="str">
        <f>IFERROR(VLOOKUP(D233,'Daftar Akun'!A$6:$B$103,2,FALSE),"")</f>
        <v>Piutang Ongkir</v>
      </c>
      <c r="F233" s="129"/>
      <c r="G233" s="122">
        <v>1154360.0</v>
      </c>
      <c r="H233" s="34"/>
      <c r="I233" s="68">
        <f t="shared" si="1"/>
        <v>18</v>
      </c>
      <c r="J233" s="68" t="str">
        <f t="shared" si="2"/>
        <v>1107-18</v>
      </c>
      <c r="K233" s="71" t="str">
        <f>E232</f>
        <v>Bank</v>
      </c>
      <c r="L233" s="34" t="str">
        <f t="shared" si="3"/>
        <v>1102</v>
      </c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5.75" customHeight="1">
      <c r="A234" s="118">
        <v>46243.0</v>
      </c>
      <c r="B234" s="131"/>
      <c r="C234" s="120" t="s">
        <v>316</v>
      </c>
      <c r="D234" s="121" t="s">
        <v>33</v>
      </c>
      <c r="E234" s="43" t="str">
        <f>IFERROR(VLOOKUP(D234,'Daftar Akun'!A$6:$B$103,2,FALSE),"")</f>
        <v>Bank</v>
      </c>
      <c r="F234" s="122">
        <v>1176250.0</v>
      </c>
      <c r="G234" s="129"/>
      <c r="H234" s="34"/>
      <c r="I234" s="68">
        <f t="shared" si="1"/>
        <v>56</v>
      </c>
      <c r="J234" s="68" t="str">
        <f t="shared" si="2"/>
        <v>1102-56</v>
      </c>
      <c r="K234" s="71" t="str">
        <f>E235</f>
        <v>Piutang Dagang</v>
      </c>
      <c r="L234" s="34" t="str">
        <f t="shared" si="3"/>
        <v>1103</v>
      </c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5.75" customHeight="1">
      <c r="A235" s="118">
        <v>46243.0</v>
      </c>
      <c r="B235" s="131"/>
      <c r="C235" s="120" t="s">
        <v>316</v>
      </c>
      <c r="D235" s="121" t="s">
        <v>36</v>
      </c>
      <c r="E235" s="43" t="str">
        <f>IFERROR(VLOOKUP(D235,'Daftar Akun'!A$6:$B$103,2,FALSE),"")</f>
        <v>Piutang Dagang</v>
      </c>
      <c r="F235" s="129"/>
      <c r="G235" s="122">
        <v>1176250.0</v>
      </c>
      <c r="H235" s="34"/>
      <c r="I235" s="68">
        <f t="shared" si="1"/>
        <v>27</v>
      </c>
      <c r="J235" s="68" t="str">
        <f t="shared" si="2"/>
        <v>1103-27</v>
      </c>
      <c r="K235" s="71" t="str">
        <f>E234</f>
        <v>Bank</v>
      </c>
      <c r="L235" s="34" t="str">
        <f t="shared" si="3"/>
        <v>1102</v>
      </c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5.75" customHeight="1">
      <c r="A236" s="118">
        <v>46244.0</v>
      </c>
      <c r="B236" s="119" t="s">
        <v>317</v>
      </c>
      <c r="C236" s="120" t="s">
        <v>318</v>
      </c>
      <c r="D236" s="121" t="s">
        <v>43</v>
      </c>
      <c r="E236" s="43" t="str">
        <f>IFERROR(VLOOKUP(D236,'Daftar Akun'!A$6:$B$103,2,FALSE),"")</f>
        <v>Peralatan</v>
      </c>
      <c r="F236" s="122">
        <v>9500.0</v>
      </c>
      <c r="G236" s="129"/>
      <c r="H236" s="34"/>
      <c r="I236" s="68">
        <f t="shared" si="1"/>
        <v>1</v>
      </c>
      <c r="J236" s="68" t="str">
        <f t="shared" si="2"/>
        <v>1105-1</v>
      </c>
      <c r="K236" s="71" t="str">
        <f>E237</f>
        <v>Kas</v>
      </c>
      <c r="L236" s="34" t="str">
        <f t="shared" si="3"/>
        <v>1101</v>
      </c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5.75" customHeight="1">
      <c r="A237" s="118">
        <v>46244.0</v>
      </c>
      <c r="B237" s="119" t="s">
        <v>317</v>
      </c>
      <c r="C237" s="120" t="s">
        <v>318</v>
      </c>
      <c r="D237" s="121" t="s">
        <v>18</v>
      </c>
      <c r="E237" s="43" t="str">
        <f>IFERROR(VLOOKUP(D237,'Daftar Akun'!A$6:$B$103,2,FALSE),"")</f>
        <v>Kas</v>
      </c>
      <c r="F237" s="129"/>
      <c r="G237" s="122">
        <v>9500.0</v>
      </c>
      <c r="H237" s="34"/>
      <c r="I237" s="68">
        <f t="shared" si="1"/>
        <v>35</v>
      </c>
      <c r="J237" s="68" t="str">
        <f t="shared" si="2"/>
        <v>1101-35</v>
      </c>
      <c r="K237" s="71" t="str">
        <f>E236</f>
        <v>Peralatan</v>
      </c>
      <c r="L237" s="34" t="str">
        <f t="shared" si="3"/>
        <v>1105</v>
      </c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5.75" customHeight="1">
      <c r="A238" s="118">
        <v>46244.0</v>
      </c>
      <c r="B238" s="119" t="s">
        <v>319</v>
      </c>
      <c r="C238" s="120" t="s">
        <v>320</v>
      </c>
      <c r="D238" s="121" t="s">
        <v>93</v>
      </c>
      <c r="E238" s="43" t="str">
        <f>IFERROR(VLOOKUP(D238,'Daftar Akun'!A$6:$B$103,2,FALSE),"")</f>
        <v>Pembelian Bunga</v>
      </c>
      <c r="F238" s="122">
        <v>100000.0</v>
      </c>
      <c r="G238" s="129"/>
      <c r="H238" s="34"/>
      <c r="I238" s="68">
        <f t="shared" si="1"/>
        <v>41</v>
      </c>
      <c r="J238" s="68" t="str">
        <f t="shared" si="2"/>
        <v>5101-41</v>
      </c>
      <c r="K238" s="71" t="str">
        <f>E239</f>
        <v>Kas</v>
      </c>
      <c r="L238" s="34" t="str">
        <f t="shared" si="3"/>
        <v>1101</v>
      </c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5.75" customHeight="1">
      <c r="A239" s="118">
        <v>46244.0</v>
      </c>
      <c r="B239" s="119" t="s">
        <v>319</v>
      </c>
      <c r="C239" s="120" t="s">
        <v>320</v>
      </c>
      <c r="D239" s="121" t="s">
        <v>18</v>
      </c>
      <c r="E239" s="43" t="str">
        <f>IFERROR(VLOOKUP(D239,'Daftar Akun'!A$6:$B$103,2,FALSE),"")</f>
        <v>Kas</v>
      </c>
      <c r="F239" s="129"/>
      <c r="G239" s="122">
        <v>100000.0</v>
      </c>
      <c r="H239" s="34"/>
      <c r="I239" s="68">
        <f t="shared" si="1"/>
        <v>36</v>
      </c>
      <c r="J239" s="68" t="str">
        <f t="shared" si="2"/>
        <v>1101-36</v>
      </c>
      <c r="K239" s="71" t="str">
        <f>E238</f>
        <v>Pembelian Bunga</v>
      </c>
      <c r="L239" s="34" t="str">
        <f t="shared" si="3"/>
        <v>5101</v>
      </c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5.75" customHeight="1">
      <c r="A240" s="118">
        <v>46244.0</v>
      </c>
      <c r="B240" s="119" t="s">
        <v>321</v>
      </c>
      <c r="C240" s="120" t="s">
        <v>249</v>
      </c>
      <c r="D240" s="121" t="s">
        <v>93</v>
      </c>
      <c r="E240" s="43" t="str">
        <f>IFERROR(VLOOKUP(D240,'Daftar Akun'!A$6:$B$103,2,FALSE),"")</f>
        <v>Pembelian Bunga</v>
      </c>
      <c r="F240" s="122">
        <v>370000.0</v>
      </c>
      <c r="G240" s="129"/>
      <c r="H240" s="34"/>
      <c r="I240" s="68">
        <f t="shared" si="1"/>
        <v>42</v>
      </c>
      <c r="J240" s="68" t="str">
        <f t="shared" si="2"/>
        <v>5101-42</v>
      </c>
      <c r="K240" s="71" t="str">
        <f>E241</f>
        <v>Kas</v>
      </c>
      <c r="L240" s="34" t="str">
        <f t="shared" si="3"/>
        <v>1101</v>
      </c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5.75" customHeight="1">
      <c r="A241" s="118">
        <v>46244.0</v>
      </c>
      <c r="B241" s="119" t="s">
        <v>321</v>
      </c>
      <c r="C241" s="120" t="s">
        <v>249</v>
      </c>
      <c r="D241" s="121" t="s">
        <v>18</v>
      </c>
      <c r="E241" s="43" t="str">
        <f>IFERROR(VLOOKUP(D241,'Daftar Akun'!A$6:$B$103,2,FALSE),"")</f>
        <v>Kas</v>
      </c>
      <c r="F241" s="129"/>
      <c r="G241" s="122">
        <v>370000.0</v>
      </c>
      <c r="H241" s="34"/>
      <c r="I241" s="68">
        <f t="shared" si="1"/>
        <v>37</v>
      </c>
      <c r="J241" s="68" t="str">
        <f t="shared" si="2"/>
        <v>1101-37</v>
      </c>
      <c r="K241" s="71" t="str">
        <f>E240</f>
        <v>Pembelian Bunga</v>
      </c>
      <c r="L241" s="34" t="str">
        <f t="shared" si="3"/>
        <v>5101</v>
      </c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5.75" customHeight="1">
      <c r="A242" s="118">
        <v>46244.0</v>
      </c>
      <c r="B242" s="119" t="s">
        <v>322</v>
      </c>
      <c r="C242" s="120" t="s">
        <v>233</v>
      </c>
      <c r="D242" s="121" t="s">
        <v>93</v>
      </c>
      <c r="E242" s="43" t="str">
        <f>IFERROR(VLOOKUP(D242,'Daftar Akun'!A$6:$B$103,2,FALSE),"")</f>
        <v>Pembelian Bunga</v>
      </c>
      <c r="F242" s="122">
        <v>300000.0</v>
      </c>
      <c r="G242" s="129"/>
      <c r="H242" s="34"/>
      <c r="I242" s="68">
        <f t="shared" si="1"/>
        <v>43</v>
      </c>
      <c r="J242" s="68" t="str">
        <f t="shared" si="2"/>
        <v>5101-43</v>
      </c>
      <c r="K242" s="71" t="str">
        <f>E243</f>
        <v>Kas</v>
      </c>
      <c r="L242" s="34" t="str">
        <f t="shared" si="3"/>
        <v>1101</v>
      </c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5.75" customHeight="1">
      <c r="A243" s="118">
        <v>46244.0</v>
      </c>
      <c r="B243" s="119" t="s">
        <v>322</v>
      </c>
      <c r="C243" s="120" t="s">
        <v>233</v>
      </c>
      <c r="D243" s="121" t="s">
        <v>18</v>
      </c>
      <c r="E243" s="43" t="str">
        <f>IFERROR(VLOOKUP(D243,'Daftar Akun'!A$6:$B$103,2,FALSE),"")</f>
        <v>Kas</v>
      </c>
      <c r="F243" s="129"/>
      <c r="G243" s="122">
        <v>300000.0</v>
      </c>
      <c r="H243" s="34"/>
      <c r="I243" s="68">
        <f t="shared" si="1"/>
        <v>38</v>
      </c>
      <c r="J243" s="68" t="str">
        <f t="shared" si="2"/>
        <v>1101-38</v>
      </c>
      <c r="K243" s="71" t="str">
        <f>E242</f>
        <v>Pembelian Bunga</v>
      </c>
      <c r="L243" s="34" t="str">
        <f t="shared" si="3"/>
        <v>5101</v>
      </c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5.75" customHeight="1">
      <c r="A244" s="118">
        <v>46244.0</v>
      </c>
      <c r="B244" s="131"/>
      <c r="C244" s="120" t="s">
        <v>323</v>
      </c>
      <c r="D244" s="121" t="s">
        <v>110</v>
      </c>
      <c r="E244" s="43" t="str">
        <f>IFERROR(VLOOKUP(D244,'Daftar Akun'!A$6:$B$103,2,FALSE),"")</f>
        <v>Beban Utilitas</v>
      </c>
      <c r="F244" s="122">
        <v>503000.0</v>
      </c>
      <c r="G244" s="129"/>
      <c r="H244" s="34"/>
      <c r="I244" s="68">
        <f t="shared" si="1"/>
        <v>1</v>
      </c>
      <c r="J244" s="68" t="str">
        <f t="shared" si="2"/>
        <v>6103-1</v>
      </c>
      <c r="K244" s="71" t="str">
        <f>E245</f>
        <v>Bank</v>
      </c>
      <c r="L244" s="34" t="str">
        <f t="shared" si="3"/>
        <v>1102</v>
      </c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5.75" customHeight="1">
      <c r="A245" s="118">
        <v>46244.0</v>
      </c>
      <c r="B245" s="131"/>
      <c r="C245" s="120" t="s">
        <v>323</v>
      </c>
      <c r="D245" s="121" t="s">
        <v>33</v>
      </c>
      <c r="E245" s="43" t="str">
        <f>IFERROR(VLOOKUP(D245,'Daftar Akun'!A$6:$B$103,2,FALSE),"")</f>
        <v>Bank</v>
      </c>
      <c r="F245" s="129"/>
      <c r="G245" s="122">
        <v>503000.0</v>
      </c>
      <c r="H245" s="34"/>
      <c r="I245" s="68">
        <f t="shared" si="1"/>
        <v>57</v>
      </c>
      <c r="J245" s="68" t="str">
        <f t="shared" si="2"/>
        <v>1102-57</v>
      </c>
      <c r="K245" s="71" t="str">
        <f>E244</f>
        <v>Beban Utilitas</v>
      </c>
      <c r="L245" s="34" t="str">
        <f t="shared" si="3"/>
        <v>6103</v>
      </c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5.75" customHeight="1">
      <c r="A246" s="118">
        <v>46244.0</v>
      </c>
      <c r="B246" s="131"/>
      <c r="C246" s="120" t="s">
        <v>324</v>
      </c>
      <c r="D246" s="121" t="s">
        <v>93</v>
      </c>
      <c r="E246" s="43" t="str">
        <f>IFERROR(VLOOKUP(D246,'Daftar Akun'!A$6:$B$103,2,FALSE),"")</f>
        <v>Pembelian Bunga</v>
      </c>
      <c r="F246" s="122">
        <v>839000.0</v>
      </c>
      <c r="G246" s="129"/>
      <c r="H246" s="34"/>
      <c r="I246" s="68">
        <f t="shared" si="1"/>
        <v>44</v>
      </c>
      <c r="J246" s="68" t="str">
        <f t="shared" si="2"/>
        <v>5101-44</v>
      </c>
      <c r="K246" s="71" t="str">
        <f>E247</f>
        <v>Bank</v>
      </c>
      <c r="L246" s="34" t="str">
        <f t="shared" si="3"/>
        <v>1102</v>
      </c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5.75" customHeight="1">
      <c r="A247" s="118">
        <v>46244.0</v>
      </c>
      <c r="B247" s="131"/>
      <c r="C247" s="120" t="s">
        <v>324</v>
      </c>
      <c r="D247" s="121" t="s">
        <v>33</v>
      </c>
      <c r="E247" s="43" t="str">
        <f>IFERROR(VLOOKUP(D247,'Daftar Akun'!A$6:$B$103,2,FALSE),"")</f>
        <v>Bank</v>
      </c>
      <c r="F247" s="129"/>
      <c r="G247" s="122">
        <v>839000.0</v>
      </c>
      <c r="H247" s="34"/>
      <c r="I247" s="68">
        <f t="shared" si="1"/>
        <v>58</v>
      </c>
      <c r="J247" s="68" t="str">
        <f t="shared" si="2"/>
        <v>1102-58</v>
      </c>
      <c r="K247" s="71" t="str">
        <f>E246</f>
        <v>Pembelian Bunga</v>
      </c>
      <c r="L247" s="34" t="str">
        <f t="shared" si="3"/>
        <v>5101</v>
      </c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5.75" customHeight="1">
      <c r="A248" s="118">
        <v>46244.0</v>
      </c>
      <c r="B248" s="119" t="s">
        <v>325</v>
      </c>
      <c r="C248" s="120" t="s">
        <v>157</v>
      </c>
      <c r="D248" s="121" t="s">
        <v>93</v>
      </c>
      <c r="E248" s="43" t="str">
        <f>IFERROR(VLOOKUP(D248,'Daftar Akun'!A$6:$B$103,2,FALSE),"")</f>
        <v>Pembelian Bunga</v>
      </c>
      <c r="F248" s="122">
        <v>835000.0</v>
      </c>
      <c r="G248" s="129"/>
      <c r="H248" s="34"/>
      <c r="I248" s="68">
        <f t="shared" si="1"/>
        <v>45</v>
      </c>
      <c r="J248" s="68" t="str">
        <f t="shared" si="2"/>
        <v>5101-45</v>
      </c>
      <c r="K248" s="71" t="str">
        <f>E249</f>
        <v>Bank</v>
      </c>
      <c r="L248" s="34" t="str">
        <f t="shared" si="3"/>
        <v>1102</v>
      </c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5.75" customHeight="1">
      <c r="A249" s="118">
        <v>46244.0</v>
      </c>
      <c r="B249" s="119" t="s">
        <v>325</v>
      </c>
      <c r="C249" s="120" t="s">
        <v>157</v>
      </c>
      <c r="D249" s="121" t="s">
        <v>33</v>
      </c>
      <c r="E249" s="43" t="str">
        <f>IFERROR(VLOOKUP(D249,'Daftar Akun'!A$6:$B$103,2,FALSE),"")</f>
        <v>Bank</v>
      </c>
      <c r="F249" s="129"/>
      <c r="G249" s="122">
        <v>835000.0</v>
      </c>
      <c r="H249" s="34"/>
      <c r="I249" s="68">
        <f t="shared" si="1"/>
        <v>59</v>
      </c>
      <c r="J249" s="68" t="str">
        <f t="shared" si="2"/>
        <v>1102-59</v>
      </c>
      <c r="K249" s="71" t="str">
        <f>E248</f>
        <v>Pembelian Bunga</v>
      </c>
      <c r="L249" s="34" t="str">
        <f t="shared" si="3"/>
        <v>5101</v>
      </c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5.75" customHeight="1">
      <c r="A250" s="118">
        <v>46244.0</v>
      </c>
      <c r="B250" s="119" t="s">
        <v>326</v>
      </c>
      <c r="C250" s="120" t="s">
        <v>327</v>
      </c>
      <c r="D250" s="121" t="s">
        <v>93</v>
      </c>
      <c r="E250" s="43" t="str">
        <f>IFERROR(VLOOKUP(D250,'Daftar Akun'!A$6:$B$103,2,FALSE),"")</f>
        <v>Pembelian Bunga</v>
      </c>
      <c r="F250" s="122">
        <v>615000.0</v>
      </c>
      <c r="G250" s="129"/>
      <c r="H250" s="34"/>
      <c r="I250" s="68">
        <f t="shared" si="1"/>
        <v>46</v>
      </c>
      <c r="J250" s="68" t="str">
        <f t="shared" si="2"/>
        <v>5101-46</v>
      </c>
      <c r="K250" s="71" t="str">
        <f>E251</f>
        <v>Hutang Dagang</v>
      </c>
      <c r="L250" s="34" t="str">
        <f t="shared" si="3"/>
        <v>2101</v>
      </c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5.75" customHeight="1">
      <c r="A251" s="118">
        <v>46244.0</v>
      </c>
      <c r="B251" s="119" t="s">
        <v>326</v>
      </c>
      <c r="C251" s="120" t="s">
        <v>327</v>
      </c>
      <c r="D251" s="121" t="s">
        <v>67</v>
      </c>
      <c r="E251" s="43" t="str">
        <f>IFERROR(VLOOKUP(D251,'Daftar Akun'!A$6:$B$103,2,FALSE),"")</f>
        <v>Hutang Dagang</v>
      </c>
      <c r="F251" s="129"/>
      <c r="G251" s="122">
        <v>615000.0</v>
      </c>
      <c r="H251" s="34"/>
      <c r="I251" s="68">
        <f t="shared" si="1"/>
        <v>9</v>
      </c>
      <c r="J251" s="68" t="str">
        <f t="shared" si="2"/>
        <v>2101-9</v>
      </c>
      <c r="K251" s="71" t="str">
        <f>E250</f>
        <v>Pembelian Bunga</v>
      </c>
      <c r="L251" s="34" t="str">
        <f t="shared" si="3"/>
        <v>5101</v>
      </c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5.75" customHeight="1">
      <c r="A252" s="118">
        <v>46244.0</v>
      </c>
      <c r="B252" s="119" t="s">
        <v>328</v>
      </c>
      <c r="C252" s="120" t="s">
        <v>262</v>
      </c>
      <c r="D252" s="121" t="s">
        <v>36</v>
      </c>
      <c r="E252" s="43" t="str">
        <f>IFERROR(VLOOKUP(D252,'Daftar Akun'!A$6:$B$103,2,FALSE),"")</f>
        <v>Piutang Dagang</v>
      </c>
      <c r="F252" s="122">
        <v>782000.0</v>
      </c>
      <c r="G252" s="129"/>
      <c r="H252" s="34"/>
      <c r="I252" s="68">
        <f t="shared" si="1"/>
        <v>28</v>
      </c>
      <c r="J252" s="68" t="str">
        <f t="shared" si="2"/>
        <v>1103-28</v>
      </c>
      <c r="K252" s="71" t="str">
        <f>E253</f>
        <v>Penjualan</v>
      </c>
      <c r="L252" s="34" t="str">
        <f t="shared" si="3"/>
        <v>4101</v>
      </c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5.75" customHeight="1">
      <c r="A253" s="118">
        <v>46244.0</v>
      </c>
      <c r="B253" s="119" t="s">
        <v>328</v>
      </c>
      <c r="C253" s="120" t="s">
        <v>262</v>
      </c>
      <c r="D253" s="121" t="s">
        <v>80</v>
      </c>
      <c r="E253" s="43" t="str">
        <f>IFERROR(VLOOKUP(D253,'Daftar Akun'!A$6:$B$103,2,FALSE),"")</f>
        <v>Penjualan</v>
      </c>
      <c r="F253" s="129"/>
      <c r="G253" s="122">
        <v>782000.0</v>
      </c>
      <c r="H253" s="34"/>
      <c r="I253" s="68">
        <f t="shared" si="1"/>
        <v>27</v>
      </c>
      <c r="J253" s="68" t="str">
        <f t="shared" si="2"/>
        <v>4101-27</v>
      </c>
      <c r="K253" s="71" t="str">
        <f>E252</f>
        <v>Piutang Dagang</v>
      </c>
      <c r="L253" s="34" t="str">
        <f t="shared" si="3"/>
        <v>1103</v>
      </c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5.75" customHeight="1">
      <c r="A254" s="118">
        <v>46244.0</v>
      </c>
      <c r="B254" s="119" t="s">
        <v>329</v>
      </c>
      <c r="C254" s="120" t="s">
        <v>330</v>
      </c>
      <c r="D254" s="121" t="s">
        <v>36</v>
      </c>
      <c r="E254" s="43" t="str">
        <f>IFERROR(VLOOKUP(D254,'Daftar Akun'!A$6:$B$103,2,FALSE),"")</f>
        <v>Piutang Dagang</v>
      </c>
      <c r="F254" s="122">
        <v>1260000.0</v>
      </c>
      <c r="G254" s="129"/>
      <c r="H254" s="34"/>
      <c r="I254" s="68">
        <f t="shared" si="1"/>
        <v>29</v>
      </c>
      <c r="J254" s="68" t="str">
        <f t="shared" si="2"/>
        <v>1103-29</v>
      </c>
      <c r="K254" s="71" t="str">
        <f>E255</f>
        <v>Penjualan</v>
      </c>
      <c r="L254" s="34" t="str">
        <f t="shared" si="3"/>
        <v>4101</v>
      </c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5.75" customHeight="1">
      <c r="A255" s="118">
        <v>46244.0</v>
      </c>
      <c r="B255" s="119" t="s">
        <v>329</v>
      </c>
      <c r="C255" s="120" t="s">
        <v>330</v>
      </c>
      <c r="D255" s="121" t="s">
        <v>80</v>
      </c>
      <c r="E255" s="43" t="str">
        <f>IFERROR(VLOOKUP(D255,'Daftar Akun'!A$6:$B$103,2,FALSE),"")</f>
        <v>Penjualan</v>
      </c>
      <c r="F255" s="129"/>
      <c r="G255" s="122">
        <v>1260000.0</v>
      </c>
      <c r="H255" s="34"/>
      <c r="I255" s="68">
        <f t="shared" si="1"/>
        <v>28</v>
      </c>
      <c r="J255" s="68" t="str">
        <f t="shared" si="2"/>
        <v>4101-28</v>
      </c>
      <c r="K255" s="71" t="str">
        <f>E254</f>
        <v>Piutang Dagang</v>
      </c>
      <c r="L255" s="34" t="str">
        <f t="shared" si="3"/>
        <v>1103</v>
      </c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5.75" customHeight="1">
      <c r="A256" s="118">
        <v>46244.0</v>
      </c>
      <c r="B256" s="119" t="s">
        <v>331</v>
      </c>
      <c r="C256" s="120" t="s">
        <v>266</v>
      </c>
      <c r="D256" s="121" t="s">
        <v>36</v>
      </c>
      <c r="E256" s="43" t="str">
        <f>IFERROR(VLOOKUP(D256,'Daftar Akun'!A$6:$B$103,2,FALSE),"")</f>
        <v>Piutang Dagang</v>
      </c>
      <c r="F256" s="122">
        <v>755000.0</v>
      </c>
      <c r="G256" s="129"/>
      <c r="H256" s="34"/>
      <c r="I256" s="68">
        <f t="shared" si="1"/>
        <v>30</v>
      </c>
      <c r="J256" s="68" t="str">
        <f t="shared" si="2"/>
        <v>1103-30</v>
      </c>
      <c r="K256" s="71" t="str">
        <f>E257</f>
        <v>Penjualan</v>
      </c>
      <c r="L256" s="34" t="str">
        <f t="shared" si="3"/>
        <v>4101</v>
      </c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5.75" customHeight="1">
      <c r="A257" s="118">
        <v>46244.0</v>
      </c>
      <c r="B257" s="119" t="s">
        <v>331</v>
      </c>
      <c r="C257" s="120" t="s">
        <v>266</v>
      </c>
      <c r="D257" s="121" t="s">
        <v>80</v>
      </c>
      <c r="E257" s="43" t="str">
        <f>IFERROR(VLOOKUP(D257,'Daftar Akun'!A$6:$B$103,2,FALSE),"")</f>
        <v>Penjualan</v>
      </c>
      <c r="F257" s="129"/>
      <c r="G257" s="122">
        <v>755000.0</v>
      </c>
      <c r="H257" s="34"/>
      <c r="I257" s="68">
        <f t="shared" si="1"/>
        <v>29</v>
      </c>
      <c r="J257" s="68" t="str">
        <f t="shared" si="2"/>
        <v>4101-29</v>
      </c>
      <c r="K257" s="71" t="str">
        <f>E256</f>
        <v>Piutang Dagang</v>
      </c>
      <c r="L257" s="34" t="str">
        <f t="shared" si="3"/>
        <v>1103</v>
      </c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5.75" customHeight="1">
      <c r="A258" s="118">
        <v>46244.0</v>
      </c>
      <c r="B258" s="119" t="s">
        <v>332</v>
      </c>
      <c r="C258" s="120" t="s">
        <v>333</v>
      </c>
      <c r="D258" s="121" t="s">
        <v>36</v>
      </c>
      <c r="E258" s="43" t="str">
        <f>IFERROR(VLOOKUP(D258,'Daftar Akun'!A$6:$B$103,2,FALSE),"")</f>
        <v>Piutang Dagang</v>
      </c>
      <c r="F258" s="122">
        <v>605000.0</v>
      </c>
      <c r="G258" s="129"/>
      <c r="H258" s="34"/>
      <c r="I258" s="68">
        <f t="shared" si="1"/>
        <v>31</v>
      </c>
      <c r="J258" s="68" t="str">
        <f t="shared" si="2"/>
        <v>1103-31</v>
      </c>
      <c r="K258" s="71" t="str">
        <f>E259</f>
        <v>Penjualan</v>
      </c>
      <c r="L258" s="34" t="str">
        <f t="shared" si="3"/>
        <v>4101</v>
      </c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5.75" customHeight="1">
      <c r="A259" s="118">
        <v>46244.0</v>
      </c>
      <c r="B259" s="119" t="s">
        <v>332</v>
      </c>
      <c r="C259" s="120" t="s">
        <v>333</v>
      </c>
      <c r="D259" s="121" t="s">
        <v>80</v>
      </c>
      <c r="E259" s="43" t="str">
        <f>IFERROR(VLOOKUP(D259,'Daftar Akun'!A$6:$B$103,2,FALSE),"")</f>
        <v>Penjualan</v>
      </c>
      <c r="F259" s="129"/>
      <c r="G259" s="122">
        <v>605000.0</v>
      </c>
      <c r="H259" s="34"/>
      <c r="I259" s="68">
        <f t="shared" si="1"/>
        <v>30</v>
      </c>
      <c r="J259" s="68" t="str">
        <f t="shared" si="2"/>
        <v>4101-30</v>
      </c>
      <c r="K259" s="71" t="str">
        <f>E258</f>
        <v>Piutang Dagang</v>
      </c>
      <c r="L259" s="34" t="str">
        <f t="shared" si="3"/>
        <v>1103</v>
      </c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5.75" customHeight="1">
      <c r="A260" s="118">
        <v>46244.0</v>
      </c>
      <c r="B260" s="119" t="s">
        <v>334</v>
      </c>
      <c r="C260" s="120" t="s">
        <v>335</v>
      </c>
      <c r="D260" s="121" t="s">
        <v>36</v>
      </c>
      <c r="E260" s="43" t="str">
        <f>IFERROR(VLOOKUP(D260,'Daftar Akun'!A$6:$B$103,2,FALSE),"")</f>
        <v>Piutang Dagang</v>
      </c>
      <c r="F260" s="122">
        <v>325000.0</v>
      </c>
      <c r="G260" s="129"/>
      <c r="H260" s="34"/>
      <c r="I260" s="68">
        <f t="shared" si="1"/>
        <v>32</v>
      </c>
      <c r="J260" s="68" t="str">
        <f t="shared" si="2"/>
        <v>1103-32</v>
      </c>
      <c r="K260" s="71" t="str">
        <f>E261</f>
        <v>Penjualan</v>
      </c>
      <c r="L260" s="34" t="str">
        <f t="shared" si="3"/>
        <v>4101</v>
      </c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5.75" customHeight="1">
      <c r="A261" s="118">
        <v>46244.0</v>
      </c>
      <c r="B261" s="119" t="s">
        <v>334</v>
      </c>
      <c r="C261" s="120" t="s">
        <v>335</v>
      </c>
      <c r="D261" s="121" t="s">
        <v>80</v>
      </c>
      <c r="E261" s="43" t="str">
        <f>IFERROR(VLOOKUP(D261,'Daftar Akun'!A$6:$B$103,2,FALSE),"")</f>
        <v>Penjualan</v>
      </c>
      <c r="F261" s="129"/>
      <c r="G261" s="122">
        <v>325000.0</v>
      </c>
      <c r="H261" s="34"/>
      <c r="I261" s="68">
        <f t="shared" si="1"/>
        <v>31</v>
      </c>
      <c r="J261" s="68" t="str">
        <f t="shared" si="2"/>
        <v>4101-31</v>
      </c>
      <c r="K261" s="71" t="str">
        <f>E260</f>
        <v>Piutang Dagang</v>
      </c>
      <c r="L261" s="34" t="str">
        <f t="shared" si="3"/>
        <v>1103</v>
      </c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5.75" customHeight="1">
      <c r="A262" s="118">
        <v>46245.0</v>
      </c>
      <c r="B262" s="131"/>
      <c r="C262" s="120" t="s">
        <v>336</v>
      </c>
      <c r="D262" s="121" t="s">
        <v>51</v>
      </c>
      <c r="E262" s="43" t="str">
        <f>IFERROR(VLOOKUP(D262,'Daftar Akun'!A$6:$B$103,2,FALSE),"")</f>
        <v>Piutang Ongkir</v>
      </c>
      <c r="F262" s="122">
        <v>3402396.0</v>
      </c>
      <c r="G262" s="129"/>
      <c r="H262" s="34"/>
      <c r="I262" s="68">
        <f t="shared" si="1"/>
        <v>19</v>
      </c>
      <c r="J262" s="68" t="str">
        <f t="shared" si="2"/>
        <v>1107-19</v>
      </c>
      <c r="K262" s="71" t="str">
        <f>E263</f>
        <v>Bank</v>
      </c>
      <c r="L262" s="34" t="str">
        <f t="shared" si="3"/>
        <v>1102</v>
      </c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5.75" customHeight="1">
      <c r="A263" s="118">
        <v>46245.0</v>
      </c>
      <c r="B263" s="131"/>
      <c r="C263" s="120" t="s">
        <v>336</v>
      </c>
      <c r="D263" s="121" t="s">
        <v>33</v>
      </c>
      <c r="E263" s="43" t="str">
        <f>IFERROR(VLOOKUP(D263,'Daftar Akun'!A$6:$B$103,2,FALSE),"")</f>
        <v>Bank</v>
      </c>
      <c r="F263" s="129"/>
      <c r="G263" s="122">
        <v>3402396.0</v>
      </c>
      <c r="H263" s="34"/>
      <c r="I263" s="68">
        <f t="shared" si="1"/>
        <v>60</v>
      </c>
      <c r="J263" s="68" t="str">
        <f t="shared" si="2"/>
        <v>1102-60</v>
      </c>
      <c r="K263" s="71" t="str">
        <f>E262</f>
        <v>Piutang Ongkir</v>
      </c>
      <c r="L263" s="34" t="str">
        <f t="shared" si="3"/>
        <v>1107</v>
      </c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5.75" customHeight="1">
      <c r="A264" s="118">
        <v>46245.0</v>
      </c>
      <c r="B264" s="131"/>
      <c r="C264" s="120" t="s">
        <v>337</v>
      </c>
      <c r="D264" s="121" t="s">
        <v>53</v>
      </c>
      <c r="E264" s="43" t="str">
        <f>IFERROR(VLOOKUP(D264,'Daftar Akun'!A$6:$B$103,2,FALSE),"")</f>
        <v>Perlengkapan</v>
      </c>
      <c r="F264" s="122">
        <v>1000000.0</v>
      </c>
      <c r="G264" s="129"/>
      <c r="H264" s="34"/>
      <c r="I264" s="68">
        <f t="shared" si="1"/>
        <v>2</v>
      </c>
      <c r="J264" s="68" t="str">
        <f t="shared" si="2"/>
        <v>1108-2</v>
      </c>
      <c r="K264" s="71" t="str">
        <f>E265</f>
        <v>Bank</v>
      </c>
      <c r="L264" s="34" t="str">
        <f t="shared" si="3"/>
        <v>1102</v>
      </c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5.75" customHeight="1">
      <c r="A265" s="118">
        <v>46245.0</v>
      </c>
      <c r="B265" s="131"/>
      <c r="C265" s="120" t="s">
        <v>337</v>
      </c>
      <c r="D265" s="121" t="s">
        <v>33</v>
      </c>
      <c r="E265" s="43" t="str">
        <f>IFERROR(VLOOKUP(D265,'Daftar Akun'!A$6:$B$103,2,FALSE),"")</f>
        <v>Bank</v>
      </c>
      <c r="F265" s="129"/>
      <c r="G265" s="122">
        <v>1000000.0</v>
      </c>
      <c r="H265" s="34"/>
      <c r="I265" s="68">
        <f t="shared" si="1"/>
        <v>61</v>
      </c>
      <c r="J265" s="68" t="str">
        <f t="shared" si="2"/>
        <v>1102-61</v>
      </c>
      <c r="K265" s="71" t="str">
        <f>E264</f>
        <v>Perlengkapan</v>
      </c>
      <c r="L265" s="34" t="str">
        <f t="shared" si="3"/>
        <v>1108</v>
      </c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5.75" customHeight="1">
      <c r="A266" s="118">
        <v>46245.0</v>
      </c>
      <c r="B266" s="131"/>
      <c r="C266" s="120" t="s">
        <v>160</v>
      </c>
      <c r="D266" s="121" t="s">
        <v>18</v>
      </c>
      <c r="E266" s="43" t="str">
        <f>IFERROR(VLOOKUP(D266,'Daftar Akun'!A$6:$B$103,2,FALSE),"")</f>
        <v>Kas</v>
      </c>
      <c r="F266" s="122">
        <v>600000.0</v>
      </c>
      <c r="G266" s="129"/>
      <c r="H266" s="34"/>
      <c r="I266" s="68">
        <f t="shared" si="1"/>
        <v>39</v>
      </c>
      <c r="J266" s="68" t="str">
        <f t="shared" si="2"/>
        <v>1101-39</v>
      </c>
      <c r="K266" s="71" t="str">
        <f>E267</f>
        <v>Bank</v>
      </c>
      <c r="L266" s="34" t="str">
        <f t="shared" si="3"/>
        <v>1102</v>
      </c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5.75" customHeight="1">
      <c r="A267" s="118">
        <v>46245.0</v>
      </c>
      <c r="B267" s="131"/>
      <c r="C267" s="120" t="s">
        <v>160</v>
      </c>
      <c r="D267" s="121" t="s">
        <v>33</v>
      </c>
      <c r="E267" s="43" t="str">
        <f>IFERROR(VLOOKUP(D267,'Daftar Akun'!A$6:$B$103,2,FALSE),"")</f>
        <v>Bank</v>
      </c>
      <c r="F267" s="129"/>
      <c r="G267" s="122">
        <v>600000.0</v>
      </c>
      <c r="H267" s="34"/>
      <c r="I267" s="68">
        <f t="shared" si="1"/>
        <v>62</v>
      </c>
      <c r="J267" s="68" t="str">
        <f t="shared" si="2"/>
        <v>1102-62</v>
      </c>
      <c r="K267" s="71" t="str">
        <f>E266</f>
        <v>Kas</v>
      </c>
      <c r="L267" s="34" t="str">
        <f t="shared" si="3"/>
        <v>1101</v>
      </c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5.75" customHeight="1">
      <c r="A268" s="118">
        <v>46245.0</v>
      </c>
      <c r="B268" s="119" t="s">
        <v>338</v>
      </c>
      <c r="C268" s="120" t="s">
        <v>339</v>
      </c>
      <c r="D268" s="121" t="s">
        <v>93</v>
      </c>
      <c r="E268" s="43" t="str">
        <f>IFERROR(VLOOKUP(D268,'Daftar Akun'!A$6:$B$103,2,FALSE),"")</f>
        <v>Pembelian Bunga</v>
      </c>
      <c r="F268" s="122">
        <v>300000.0</v>
      </c>
      <c r="G268" s="129"/>
      <c r="H268" s="34"/>
      <c r="I268" s="68">
        <f t="shared" si="1"/>
        <v>47</v>
      </c>
      <c r="J268" s="68" t="str">
        <f t="shared" si="2"/>
        <v>5101-47</v>
      </c>
      <c r="K268" s="71" t="str">
        <f>E269</f>
        <v>Kas</v>
      </c>
      <c r="L268" s="34" t="str">
        <f t="shared" si="3"/>
        <v>1101</v>
      </c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5.75" customHeight="1">
      <c r="A269" s="118">
        <v>46245.0</v>
      </c>
      <c r="B269" s="119" t="s">
        <v>338</v>
      </c>
      <c r="C269" s="120" t="s">
        <v>339</v>
      </c>
      <c r="D269" s="121" t="s">
        <v>18</v>
      </c>
      <c r="E269" s="43" t="str">
        <f>IFERROR(VLOOKUP(D269,'Daftar Akun'!A$6:$B$103,2,FALSE),"")</f>
        <v>Kas</v>
      </c>
      <c r="F269" s="129"/>
      <c r="G269" s="122">
        <v>300000.0</v>
      </c>
      <c r="H269" s="34"/>
      <c r="I269" s="68">
        <f t="shared" si="1"/>
        <v>40</v>
      </c>
      <c r="J269" s="68" t="str">
        <f t="shared" si="2"/>
        <v>1101-40</v>
      </c>
      <c r="K269" s="71" t="str">
        <f>E268</f>
        <v>Pembelian Bunga</v>
      </c>
      <c r="L269" s="34" t="str">
        <f t="shared" si="3"/>
        <v>5101</v>
      </c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5.75" customHeight="1">
      <c r="A270" s="118">
        <v>46245.0</v>
      </c>
      <c r="B270" s="119" t="s">
        <v>340</v>
      </c>
      <c r="C270" s="120" t="s">
        <v>341</v>
      </c>
      <c r="D270" s="121" t="s">
        <v>121</v>
      </c>
      <c r="E270" s="43" t="str">
        <f>IFERROR(VLOOKUP(D270,'Daftar Akun'!A$6:$B$103,2,FALSE),"")</f>
        <v>Beban Lain-Lain</v>
      </c>
      <c r="F270" s="122">
        <v>16000.0</v>
      </c>
      <c r="G270" s="129"/>
      <c r="H270" s="34"/>
      <c r="I270" s="68">
        <f t="shared" si="1"/>
        <v>8</v>
      </c>
      <c r="J270" s="68" t="str">
        <f t="shared" si="2"/>
        <v>6108-8</v>
      </c>
      <c r="K270" s="71" t="str">
        <f>E271</f>
        <v>Kas</v>
      </c>
      <c r="L270" s="34" t="str">
        <f t="shared" si="3"/>
        <v>1101</v>
      </c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5.75" customHeight="1">
      <c r="A271" s="118">
        <v>46245.0</v>
      </c>
      <c r="B271" s="119" t="s">
        <v>340</v>
      </c>
      <c r="C271" s="120" t="s">
        <v>341</v>
      </c>
      <c r="D271" s="121" t="s">
        <v>18</v>
      </c>
      <c r="E271" s="43" t="str">
        <f>IFERROR(VLOOKUP(D271,'Daftar Akun'!A$6:$B$103,2,FALSE),"")</f>
        <v>Kas</v>
      </c>
      <c r="F271" s="129"/>
      <c r="G271" s="122">
        <v>16000.0</v>
      </c>
      <c r="H271" s="34"/>
      <c r="I271" s="68">
        <f t="shared" si="1"/>
        <v>41</v>
      </c>
      <c r="J271" s="68" t="str">
        <f t="shared" si="2"/>
        <v>1101-41</v>
      </c>
      <c r="K271" s="71" t="str">
        <f>E270</f>
        <v>Beban Lain-Lain</v>
      </c>
      <c r="L271" s="34" t="str">
        <f t="shared" si="3"/>
        <v>6108</v>
      </c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5.75" customHeight="1">
      <c r="A272" s="118">
        <v>46245.0</v>
      </c>
      <c r="B272" s="119" t="s">
        <v>340</v>
      </c>
      <c r="C272" s="120" t="s">
        <v>249</v>
      </c>
      <c r="D272" s="121" t="s">
        <v>93</v>
      </c>
      <c r="E272" s="43" t="str">
        <f>IFERROR(VLOOKUP(D272,'Daftar Akun'!A$6:$B$103,2,FALSE),"")</f>
        <v>Pembelian Bunga</v>
      </c>
      <c r="F272" s="122">
        <v>45000.0</v>
      </c>
      <c r="G272" s="129"/>
      <c r="H272" s="34"/>
      <c r="I272" s="68">
        <f t="shared" si="1"/>
        <v>48</v>
      </c>
      <c r="J272" s="68" t="str">
        <f t="shared" si="2"/>
        <v>5101-48</v>
      </c>
      <c r="K272" s="71" t="str">
        <f>E273</f>
        <v>Kas</v>
      </c>
      <c r="L272" s="34" t="str">
        <f t="shared" si="3"/>
        <v>1101</v>
      </c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5.75" customHeight="1">
      <c r="A273" s="118">
        <v>46245.0</v>
      </c>
      <c r="B273" s="119" t="s">
        <v>340</v>
      </c>
      <c r="C273" s="120" t="s">
        <v>249</v>
      </c>
      <c r="D273" s="121" t="s">
        <v>18</v>
      </c>
      <c r="E273" s="43" t="str">
        <f>IFERROR(VLOOKUP(D273,'Daftar Akun'!A$6:$B$103,2,FALSE),"")</f>
        <v>Kas</v>
      </c>
      <c r="F273" s="129"/>
      <c r="G273" s="122">
        <v>45000.0</v>
      </c>
      <c r="H273" s="34"/>
      <c r="I273" s="68">
        <f t="shared" si="1"/>
        <v>42</v>
      </c>
      <c r="J273" s="68" t="str">
        <f t="shared" si="2"/>
        <v>1101-42</v>
      </c>
      <c r="K273" s="71" t="str">
        <f>E272</f>
        <v>Pembelian Bunga</v>
      </c>
      <c r="L273" s="34" t="str">
        <f t="shared" si="3"/>
        <v>5101</v>
      </c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5.75" customHeight="1">
      <c r="A274" s="118">
        <v>46245.0</v>
      </c>
      <c r="B274" s="119" t="s">
        <v>342</v>
      </c>
      <c r="C274" s="120" t="s">
        <v>343</v>
      </c>
      <c r="D274" s="121" t="s">
        <v>53</v>
      </c>
      <c r="E274" s="43" t="str">
        <f>IFERROR(VLOOKUP(D274,'Daftar Akun'!A$6:$B$103,2,FALSE),"")</f>
        <v>Perlengkapan</v>
      </c>
      <c r="F274" s="122">
        <v>80000.0</v>
      </c>
      <c r="G274" s="129"/>
      <c r="H274" s="34"/>
      <c r="I274" s="68">
        <f t="shared" si="1"/>
        <v>3</v>
      </c>
      <c r="J274" s="68" t="str">
        <f t="shared" si="2"/>
        <v>1108-3</v>
      </c>
      <c r="K274" s="71" t="str">
        <f>E275</f>
        <v>Kas</v>
      </c>
      <c r="L274" s="34" t="str">
        <f t="shared" si="3"/>
        <v>1101</v>
      </c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5.75" customHeight="1">
      <c r="A275" s="118">
        <v>46245.0</v>
      </c>
      <c r="B275" s="119" t="s">
        <v>342</v>
      </c>
      <c r="C275" s="120" t="s">
        <v>343</v>
      </c>
      <c r="D275" s="121" t="s">
        <v>18</v>
      </c>
      <c r="E275" s="43" t="str">
        <f>IFERROR(VLOOKUP(D275,'Daftar Akun'!A$6:$B$103,2,FALSE),"")</f>
        <v>Kas</v>
      </c>
      <c r="F275" s="129"/>
      <c r="G275" s="122">
        <v>80000.0</v>
      </c>
      <c r="H275" s="34"/>
      <c r="I275" s="68">
        <f t="shared" si="1"/>
        <v>43</v>
      </c>
      <c r="J275" s="68" t="str">
        <f t="shared" si="2"/>
        <v>1101-43</v>
      </c>
      <c r="K275" s="71" t="str">
        <f>E274</f>
        <v>Perlengkapan</v>
      </c>
      <c r="L275" s="34" t="str">
        <f t="shared" si="3"/>
        <v>1108</v>
      </c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5.75" customHeight="1">
      <c r="A276" s="118">
        <v>46245.0</v>
      </c>
      <c r="B276" s="119" t="s">
        <v>344</v>
      </c>
      <c r="C276" s="120" t="s">
        <v>345</v>
      </c>
      <c r="D276" s="121" t="s">
        <v>53</v>
      </c>
      <c r="E276" s="43" t="str">
        <f>IFERROR(VLOOKUP(D276,'Daftar Akun'!A$6:$B$103,2,FALSE),"")</f>
        <v>Perlengkapan</v>
      </c>
      <c r="F276" s="122">
        <v>14000.0</v>
      </c>
      <c r="G276" s="129"/>
      <c r="H276" s="34"/>
      <c r="I276" s="68">
        <f t="shared" si="1"/>
        <v>4</v>
      </c>
      <c r="J276" s="68" t="str">
        <f t="shared" si="2"/>
        <v>1108-4</v>
      </c>
      <c r="K276" s="71" t="str">
        <f>E277</f>
        <v>Kas</v>
      </c>
      <c r="L276" s="34" t="str">
        <f t="shared" si="3"/>
        <v>1101</v>
      </c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5.75" customHeight="1">
      <c r="A277" s="118">
        <v>46245.0</v>
      </c>
      <c r="B277" s="119" t="s">
        <v>344</v>
      </c>
      <c r="C277" s="120" t="s">
        <v>345</v>
      </c>
      <c r="D277" s="121" t="s">
        <v>18</v>
      </c>
      <c r="E277" s="43" t="str">
        <f>IFERROR(VLOOKUP(D277,'Daftar Akun'!A$6:$B$103,2,FALSE),"")</f>
        <v>Kas</v>
      </c>
      <c r="F277" s="129"/>
      <c r="G277" s="122">
        <v>14000.0</v>
      </c>
      <c r="H277" s="34"/>
      <c r="I277" s="68">
        <f t="shared" si="1"/>
        <v>44</v>
      </c>
      <c r="J277" s="68" t="str">
        <f t="shared" si="2"/>
        <v>1101-44</v>
      </c>
      <c r="K277" s="71" t="str">
        <f>E276</f>
        <v>Perlengkapan</v>
      </c>
      <c r="L277" s="34" t="str">
        <f t="shared" si="3"/>
        <v>1108</v>
      </c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5.75" customHeight="1">
      <c r="A278" s="118">
        <v>46245.0</v>
      </c>
      <c r="B278" s="119" t="s">
        <v>346</v>
      </c>
      <c r="C278" s="120" t="s">
        <v>327</v>
      </c>
      <c r="D278" s="121" t="s">
        <v>93</v>
      </c>
      <c r="E278" s="43" t="str">
        <f>IFERROR(VLOOKUP(D278,'Daftar Akun'!A$6:$B$103,2,FALSE),"")</f>
        <v>Pembelian Bunga</v>
      </c>
      <c r="F278" s="122">
        <v>49000.0</v>
      </c>
      <c r="G278" s="129"/>
      <c r="H278" s="34"/>
      <c r="I278" s="68">
        <f t="shared" si="1"/>
        <v>49</v>
      </c>
      <c r="J278" s="68" t="str">
        <f t="shared" si="2"/>
        <v>5101-49</v>
      </c>
      <c r="K278" s="71" t="str">
        <f>E279</f>
        <v>Hutang Dagang</v>
      </c>
      <c r="L278" s="34" t="str">
        <f t="shared" si="3"/>
        <v>2101</v>
      </c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5.75" customHeight="1">
      <c r="A279" s="118">
        <v>46245.0</v>
      </c>
      <c r="B279" s="119" t="s">
        <v>346</v>
      </c>
      <c r="C279" s="120" t="s">
        <v>327</v>
      </c>
      <c r="D279" s="121" t="s">
        <v>67</v>
      </c>
      <c r="E279" s="43" t="str">
        <f>IFERROR(VLOOKUP(D279,'Daftar Akun'!A$6:$B$103,2,FALSE),"")</f>
        <v>Hutang Dagang</v>
      </c>
      <c r="F279" s="129"/>
      <c r="G279" s="122">
        <v>49000.0</v>
      </c>
      <c r="H279" s="34"/>
      <c r="I279" s="68">
        <f t="shared" si="1"/>
        <v>10</v>
      </c>
      <c r="J279" s="68" t="str">
        <f t="shared" si="2"/>
        <v>2101-10</v>
      </c>
      <c r="K279" s="71" t="str">
        <f>E278</f>
        <v>Pembelian Bunga</v>
      </c>
      <c r="L279" s="34" t="str">
        <f t="shared" si="3"/>
        <v>5101</v>
      </c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5.75" customHeight="1">
      <c r="A280" s="118">
        <v>46245.0</v>
      </c>
      <c r="B280" s="131"/>
      <c r="C280" s="120" t="s">
        <v>347</v>
      </c>
      <c r="D280" s="121" t="s">
        <v>33</v>
      </c>
      <c r="E280" s="43" t="str">
        <f>IFERROR(VLOOKUP(D280,'Daftar Akun'!A$6:$B$103,2,FALSE),"")</f>
        <v>Bank</v>
      </c>
      <c r="F280" s="122">
        <v>3727000.0</v>
      </c>
      <c r="G280" s="129"/>
      <c r="H280" s="34"/>
      <c r="I280" s="68">
        <f t="shared" si="1"/>
        <v>63</v>
      </c>
      <c r="J280" s="68" t="str">
        <f t="shared" si="2"/>
        <v>1102-63</v>
      </c>
      <c r="K280" s="71" t="str">
        <f>E281</f>
        <v>Piutang Dagang</v>
      </c>
      <c r="L280" s="34" t="str">
        <f t="shared" si="3"/>
        <v>1103</v>
      </c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5.75" customHeight="1">
      <c r="A281" s="118">
        <v>46245.0</v>
      </c>
      <c r="B281" s="131"/>
      <c r="C281" s="120" t="s">
        <v>347</v>
      </c>
      <c r="D281" s="121" t="s">
        <v>36</v>
      </c>
      <c r="E281" s="43" t="str">
        <f>IFERROR(VLOOKUP(D281,'Daftar Akun'!A$6:$B$103,2,FALSE),"")</f>
        <v>Piutang Dagang</v>
      </c>
      <c r="F281" s="129"/>
      <c r="G281" s="122">
        <v>3727000.0</v>
      </c>
      <c r="H281" s="34"/>
      <c r="I281" s="68">
        <f t="shared" si="1"/>
        <v>33</v>
      </c>
      <c r="J281" s="68" t="str">
        <f t="shared" si="2"/>
        <v>1103-33</v>
      </c>
      <c r="K281" s="71" t="str">
        <f>E280</f>
        <v>Bank</v>
      </c>
      <c r="L281" s="34" t="str">
        <f t="shared" si="3"/>
        <v>1102</v>
      </c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5.75" customHeight="1">
      <c r="A282" s="118">
        <v>46245.0</v>
      </c>
      <c r="B282" s="131"/>
      <c r="C282" s="120" t="s">
        <v>348</v>
      </c>
      <c r="D282" s="121" t="s">
        <v>33</v>
      </c>
      <c r="E282" s="43" t="str">
        <f>IFERROR(VLOOKUP(D282,'Daftar Akun'!A$6:$B$103,2,FALSE),"")</f>
        <v>Bank</v>
      </c>
      <c r="F282" s="122">
        <v>3402396.0</v>
      </c>
      <c r="G282" s="129"/>
      <c r="H282" s="34"/>
      <c r="I282" s="68">
        <f t="shared" si="1"/>
        <v>64</v>
      </c>
      <c r="J282" s="68" t="str">
        <f t="shared" si="2"/>
        <v>1102-64</v>
      </c>
      <c r="K282" s="71" t="str">
        <f>E283</f>
        <v>Piutang Ongkir</v>
      </c>
      <c r="L282" s="34" t="str">
        <f t="shared" si="3"/>
        <v>1107</v>
      </c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5.75" customHeight="1">
      <c r="A283" s="118">
        <v>46245.0</v>
      </c>
      <c r="B283" s="131"/>
      <c r="C283" s="120" t="s">
        <v>348</v>
      </c>
      <c r="D283" s="121" t="s">
        <v>51</v>
      </c>
      <c r="E283" s="43" t="str">
        <f>IFERROR(VLOOKUP(D283,'Daftar Akun'!A$6:$B$103,2,FALSE),"")</f>
        <v>Piutang Ongkir</v>
      </c>
      <c r="F283" s="129"/>
      <c r="G283" s="122">
        <v>3402396.0</v>
      </c>
      <c r="H283" s="34"/>
      <c r="I283" s="68">
        <f t="shared" si="1"/>
        <v>20</v>
      </c>
      <c r="J283" s="68" t="str">
        <f t="shared" si="2"/>
        <v>1107-20</v>
      </c>
      <c r="K283" s="71" t="str">
        <f>E282</f>
        <v>Bank</v>
      </c>
      <c r="L283" s="34" t="str">
        <f t="shared" si="3"/>
        <v>1102</v>
      </c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5.75" customHeight="1">
      <c r="A284" s="118">
        <v>46245.0</v>
      </c>
      <c r="B284" s="119" t="s">
        <v>349</v>
      </c>
      <c r="C284" s="120" t="s">
        <v>242</v>
      </c>
      <c r="D284" s="121" t="s">
        <v>36</v>
      </c>
      <c r="E284" s="43" t="str">
        <f>IFERROR(VLOOKUP(D284,'Daftar Akun'!A$6:$B$103,2,FALSE),"")</f>
        <v>Piutang Dagang</v>
      </c>
      <c r="F284" s="122">
        <v>1827000.0</v>
      </c>
      <c r="G284" s="129"/>
      <c r="H284" s="34"/>
      <c r="I284" s="68">
        <f t="shared" si="1"/>
        <v>34</v>
      </c>
      <c r="J284" s="68" t="str">
        <f t="shared" si="2"/>
        <v>1103-34</v>
      </c>
      <c r="K284" s="71" t="str">
        <f>E285</f>
        <v>Penjualan</v>
      </c>
      <c r="L284" s="34" t="str">
        <f t="shared" si="3"/>
        <v>4101</v>
      </c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5.75" customHeight="1">
      <c r="A285" s="118">
        <v>46245.0</v>
      </c>
      <c r="B285" s="119" t="s">
        <v>349</v>
      </c>
      <c r="C285" s="120" t="s">
        <v>242</v>
      </c>
      <c r="D285" s="121" t="s">
        <v>80</v>
      </c>
      <c r="E285" s="43" t="str">
        <f>IFERROR(VLOOKUP(D285,'Daftar Akun'!A$6:$B$103,2,FALSE),"")</f>
        <v>Penjualan</v>
      </c>
      <c r="F285" s="129"/>
      <c r="G285" s="122">
        <v>1827000.0</v>
      </c>
      <c r="H285" s="34"/>
      <c r="I285" s="68">
        <f t="shared" si="1"/>
        <v>32</v>
      </c>
      <c r="J285" s="68" t="str">
        <f t="shared" si="2"/>
        <v>4101-32</v>
      </c>
      <c r="K285" s="71" t="str">
        <f>E284</f>
        <v>Piutang Dagang</v>
      </c>
      <c r="L285" s="34" t="str">
        <f t="shared" si="3"/>
        <v>1103</v>
      </c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5.75" customHeight="1">
      <c r="A286" s="118">
        <v>46246.0</v>
      </c>
      <c r="B286" s="119" t="s">
        <v>350</v>
      </c>
      <c r="C286" s="120" t="s">
        <v>351</v>
      </c>
      <c r="D286" s="121" t="s">
        <v>93</v>
      </c>
      <c r="E286" s="43" t="str">
        <f>IFERROR(VLOOKUP(D286,'Daftar Akun'!A$6:$B$103,2,FALSE),"")</f>
        <v>Pembelian Bunga</v>
      </c>
      <c r="F286" s="122">
        <v>215000.0</v>
      </c>
      <c r="G286" s="129"/>
      <c r="H286" s="34"/>
      <c r="I286" s="68">
        <f t="shared" si="1"/>
        <v>50</v>
      </c>
      <c r="J286" s="68" t="str">
        <f t="shared" si="2"/>
        <v>5101-50</v>
      </c>
      <c r="K286" s="71" t="str">
        <f>E287</f>
        <v>Bank</v>
      </c>
      <c r="L286" s="34" t="str">
        <f t="shared" si="3"/>
        <v>1102</v>
      </c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5.75" customHeight="1">
      <c r="A287" s="118">
        <v>46246.0</v>
      </c>
      <c r="B287" s="119" t="s">
        <v>350</v>
      </c>
      <c r="C287" s="120" t="s">
        <v>351</v>
      </c>
      <c r="D287" s="121" t="s">
        <v>33</v>
      </c>
      <c r="E287" s="43" t="str">
        <f>IFERROR(VLOOKUP(D287,'Daftar Akun'!A$6:$B$103,2,FALSE),"")</f>
        <v>Bank</v>
      </c>
      <c r="F287" s="129"/>
      <c r="G287" s="122">
        <v>215000.0</v>
      </c>
      <c r="H287" s="34"/>
      <c r="I287" s="68">
        <f t="shared" si="1"/>
        <v>65</v>
      </c>
      <c r="J287" s="68" t="str">
        <f t="shared" si="2"/>
        <v>1102-65</v>
      </c>
      <c r="K287" s="71" t="str">
        <f>E286</f>
        <v>Pembelian Bunga</v>
      </c>
      <c r="L287" s="34" t="str">
        <f t="shared" si="3"/>
        <v>5101</v>
      </c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5.75" customHeight="1">
      <c r="A288" s="118">
        <v>46246.0</v>
      </c>
      <c r="B288" s="131"/>
      <c r="C288" s="120" t="s">
        <v>352</v>
      </c>
      <c r="D288" s="121" t="s">
        <v>51</v>
      </c>
      <c r="E288" s="43" t="str">
        <f>IFERROR(VLOOKUP(D288,'Daftar Akun'!A$6:$B$103,2,FALSE),"")</f>
        <v>Piutang Ongkir</v>
      </c>
      <c r="F288" s="122">
        <v>1295496.0</v>
      </c>
      <c r="G288" s="129"/>
      <c r="H288" s="34"/>
      <c r="I288" s="68">
        <f t="shared" si="1"/>
        <v>21</v>
      </c>
      <c r="J288" s="68" t="str">
        <f t="shared" si="2"/>
        <v>1107-21</v>
      </c>
      <c r="K288" s="71" t="str">
        <f>E289</f>
        <v>Bank</v>
      </c>
      <c r="L288" s="34" t="str">
        <f t="shared" si="3"/>
        <v>1102</v>
      </c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5.75" customHeight="1">
      <c r="A289" s="118">
        <v>46246.0</v>
      </c>
      <c r="B289" s="131"/>
      <c r="C289" s="120" t="s">
        <v>353</v>
      </c>
      <c r="D289" s="121" t="s">
        <v>33</v>
      </c>
      <c r="E289" s="43" t="str">
        <f>IFERROR(VLOOKUP(D289,'Daftar Akun'!A$6:$B$103,2,FALSE),"")</f>
        <v>Bank</v>
      </c>
      <c r="F289" s="129"/>
      <c r="G289" s="122">
        <v>1295496.0</v>
      </c>
      <c r="H289" s="34"/>
      <c r="I289" s="68">
        <f t="shared" si="1"/>
        <v>66</v>
      </c>
      <c r="J289" s="68" t="str">
        <f t="shared" si="2"/>
        <v>1102-66</v>
      </c>
      <c r="K289" s="71" t="str">
        <f>E288</f>
        <v>Piutang Ongkir</v>
      </c>
      <c r="L289" s="34" t="str">
        <f t="shared" si="3"/>
        <v>1107</v>
      </c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5.75" customHeight="1">
      <c r="A290" s="118">
        <v>46246.0</v>
      </c>
      <c r="B290" s="131"/>
      <c r="C290" s="120" t="s">
        <v>324</v>
      </c>
      <c r="D290" s="121" t="s">
        <v>93</v>
      </c>
      <c r="E290" s="43" t="str">
        <f>IFERROR(VLOOKUP(D290,'Daftar Akun'!A$6:$B$103,2,FALSE),"")</f>
        <v>Pembelian Bunga</v>
      </c>
      <c r="F290" s="122">
        <v>275000.0</v>
      </c>
      <c r="G290" s="129"/>
      <c r="H290" s="34"/>
      <c r="I290" s="68">
        <f t="shared" si="1"/>
        <v>51</v>
      </c>
      <c r="J290" s="68" t="str">
        <f t="shared" si="2"/>
        <v>5101-51</v>
      </c>
      <c r="K290" s="71" t="str">
        <f>E291</f>
        <v>Bank</v>
      </c>
      <c r="L290" s="34" t="str">
        <f t="shared" si="3"/>
        <v>1102</v>
      </c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5.75" customHeight="1">
      <c r="A291" s="118">
        <v>46246.0</v>
      </c>
      <c r="B291" s="131"/>
      <c r="C291" s="120" t="s">
        <v>324</v>
      </c>
      <c r="D291" s="121" t="s">
        <v>33</v>
      </c>
      <c r="E291" s="43" t="str">
        <f>IFERROR(VLOOKUP(D291,'Daftar Akun'!A$6:$B$103,2,FALSE),"")</f>
        <v>Bank</v>
      </c>
      <c r="F291" s="129"/>
      <c r="G291" s="122">
        <v>275000.0</v>
      </c>
      <c r="H291" s="34"/>
      <c r="I291" s="68">
        <f t="shared" si="1"/>
        <v>67</v>
      </c>
      <c r="J291" s="68" t="str">
        <f t="shared" si="2"/>
        <v>1102-67</v>
      </c>
      <c r="K291" s="71" t="str">
        <f>E290</f>
        <v>Pembelian Bunga</v>
      </c>
      <c r="L291" s="34" t="str">
        <f t="shared" si="3"/>
        <v>5101</v>
      </c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5.75" customHeight="1">
      <c r="A292" s="118">
        <v>46246.0</v>
      </c>
      <c r="B292" s="131"/>
      <c r="C292" s="120" t="s">
        <v>354</v>
      </c>
      <c r="D292" s="121" t="s">
        <v>105</v>
      </c>
      <c r="E292" s="43" t="str">
        <f>IFERROR(VLOOKUP(D292,'Daftar Akun'!A$6:$B$103,2,FALSE),"")</f>
        <v>Beban Gaji</v>
      </c>
      <c r="F292" s="122">
        <v>750000.0</v>
      </c>
      <c r="G292" s="129"/>
      <c r="H292" s="34"/>
      <c r="I292" s="68">
        <f t="shared" si="1"/>
        <v>3</v>
      </c>
      <c r="J292" s="68" t="str">
        <f t="shared" si="2"/>
        <v>6101-3</v>
      </c>
      <c r="K292" s="71" t="str">
        <f>E293</f>
        <v>Bank</v>
      </c>
      <c r="L292" s="34" t="str">
        <f t="shared" si="3"/>
        <v>1102</v>
      </c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5.75" customHeight="1">
      <c r="A293" s="118">
        <v>46246.0</v>
      </c>
      <c r="B293" s="131"/>
      <c r="C293" s="120" t="s">
        <v>354</v>
      </c>
      <c r="D293" s="121" t="s">
        <v>33</v>
      </c>
      <c r="E293" s="43" t="str">
        <f>IFERROR(VLOOKUP(D293,'Daftar Akun'!A$6:$B$103,2,FALSE),"")</f>
        <v>Bank</v>
      </c>
      <c r="F293" s="129"/>
      <c r="G293" s="122">
        <v>750000.0</v>
      </c>
      <c r="H293" s="34"/>
      <c r="I293" s="68">
        <f t="shared" si="1"/>
        <v>68</v>
      </c>
      <c r="J293" s="68" t="str">
        <f t="shared" si="2"/>
        <v>1102-68</v>
      </c>
      <c r="K293" s="71" t="str">
        <f>E292</f>
        <v>Beban Gaji</v>
      </c>
      <c r="L293" s="34" t="str">
        <f t="shared" si="3"/>
        <v>6101</v>
      </c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5.75" customHeight="1">
      <c r="A294" s="118">
        <v>46246.0</v>
      </c>
      <c r="B294" s="131"/>
      <c r="C294" s="120" t="s">
        <v>189</v>
      </c>
      <c r="D294" s="121" t="s">
        <v>93</v>
      </c>
      <c r="E294" s="43" t="str">
        <f>IFERROR(VLOOKUP(D294,'Daftar Akun'!A$6:$B$103,2,FALSE),"")</f>
        <v>Pembelian Bunga</v>
      </c>
      <c r="F294" s="122">
        <v>75000.0</v>
      </c>
      <c r="G294" s="129"/>
      <c r="H294" s="34"/>
      <c r="I294" s="68">
        <f t="shared" si="1"/>
        <v>52</v>
      </c>
      <c r="J294" s="68" t="str">
        <f t="shared" si="2"/>
        <v>5101-52</v>
      </c>
      <c r="K294" s="71" t="str">
        <f>E295</f>
        <v>Kas</v>
      </c>
      <c r="L294" s="34" t="str">
        <f t="shared" si="3"/>
        <v>1101</v>
      </c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5.75" customHeight="1">
      <c r="A295" s="118">
        <v>46246.0</v>
      </c>
      <c r="B295" s="131"/>
      <c r="C295" s="120" t="s">
        <v>189</v>
      </c>
      <c r="D295" s="121" t="s">
        <v>18</v>
      </c>
      <c r="E295" s="43" t="str">
        <f>IFERROR(VLOOKUP(D295,'Daftar Akun'!A$6:$B$103,2,FALSE),"")</f>
        <v>Kas</v>
      </c>
      <c r="F295" s="129"/>
      <c r="G295" s="122">
        <v>75000.0</v>
      </c>
      <c r="H295" s="34"/>
      <c r="I295" s="68">
        <f t="shared" si="1"/>
        <v>45</v>
      </c>
      <c r="J295" s="68" t="str">
        <f t="shared" si="2"/>
        <v>1101-45</v>
      </c>
      <c r="K295" s="71" t="str">
        <f>E294</f>
        <v>Pembelian Bunga</v>
      </c>
      <c r="L295" s="34" t="str">
        <f t="shared" si="3"/>
        <v>5101</v>
      </c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5.75" customHeight="1">
      <c r="A296" s="118">
        <v>46246.0</v>
      </c>
      <c r="B296" s="131"/>
      <c r="C296" s="120" t="s">
        <v>270</v>
      </c>
      <c r="D296" s="121" t="s">
        <v>77</v>
      </c>
      <c r="E296" s="43" t="str">
        <f>IFERROR(VLOOKUP(D296,'Daftar Akun'!A$6:$B$103,2,FALSE),"")</f>
        <v>Prive</v>
      </c>
      <c r="F296" s="122">
        <v>33000.0</v>
      </c>
      <c r="G296" s="129"/>
      <c r="H296" s="34"/>
      <c r="I296" s="68">
        <f t="shared" si="1"/>
        <v>4</v>
      </c>
      <c r="J296" s="68" t="str">
        <f t="shared" si="2"/>
        <v>3102-4</v>
      </c>
      <c r="K296" s="71" t="str">
        <f>E297</f>
        <v>Kas</v>
      </c>
      <c r="L296" s="34" t="str">
        <f t="shared" si="3"/>
        <v>1101</v>
      </c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5.75" customHeight="1">
      <c r="A297" s="118">
        <v>46246.0</v>
      </c>
      <c r="B297" s="131"/>
      <c r="C297" s="120" t="s">
        <v>270</v>
      </c>
      <c r="D297" s="121" t="s">
        <v>18</v>
      </c>
      <c r="E297" s="43" t="str">
        <f>IFERROR(VLOOKUP(D297,'Daftar Akun'!A$6:$B$103,2,FALSE),"")</f>
        <v>Kas</v>
      </c>
      <c r="F297" s="129"/>
      <c r="G297" s="122">
        <v>33000.0</v>
      </c>
      <c r="H297" s="34"/>
      <c r="I297" s="68">
        <f t="shared" si="1"/>
        <v>46</v>
      </c>
      <c r="J297" s="68" t="str">
        <f t="shared" si="2"/>
        <v>1101-46</v>
      </c>
      <c r="K297" s="71" t="str">
        <f>E296</f>
        <v>Prive</v>
      </c>
      <c r="L297" s="34" t="str">
        <f t="shared" si="3"/>
        <v>3102</v>
      </c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5.75" customHeight="1">
      <c r="A298" s="118">
        <v>46246.0</v>
      </c>
      <c r="B298" s="120" t="s">
        <v>355</v>
      </c>
      <c r="C298" s="120" t="s">
        <v>356</v>
      </c>
      <c r="D298" s="121" t="s">
        <v>121</v>
      </c>
      <c r="E298" s="43" t="str">
        <f>IFERROR(VLOOKUP(D298,'Daftar Akun'!A$6:$B$103,2,FALSE),"")</f>
        <v>Beban Lain-Lain</v>
      </c>
      <c r="F298" s="122">
        <v>30000.0</v>
      </c>
      <c r="G298" s="129"/>
      <c r="H298" s="34"/>
      <c r="I298" s="68">
        <f t="shared" si="1"/>
        <v>9</v>
      </c>
      <c r="J298" s="68" t="str">
        <f t="shared" si="2"/>
        <v>6108-9</v>
      </c>
      <c r="K298" s="71" t="str">
        <f>E299</f>
        <v>Kas</v>
      </c>
      <c r="L298" s="34" t="str">
        <f t="shared" si="3"/>
        <v>1101</v>
      </c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5.75" customHeight="1">
      <c r="A299" s="118">
        <v>46246.0</v>
      </c>
      <c r="B299" s="119" t="s">
        <v>355</v>
      </c>
      <c r="C299" s="120" t="s">
        <v>356</v>
      </c>
      <c r="D299" s="121" t="s">
        <v>18</v>
      </c>
      <c r="E299" s="43" t="str">
        <f>IFERROR(VLOOKUP(D299,'Daftar Akun'!A$6:$B$103,2,FALSE),"")</f>
        <v>Kas</v>
      </c>
      <c r="F299" s="129"/>
      <c r="G299" s="122">
        <v>30000.0</v>
      </c>
      <c r="H299" s="34"/>
      <c r="I299" s="68">
        <f t="shared" si="1"/>
        <v>47</v>
      </c>
      <c r="J299" s="68" t="str">
        <f t="shared" si="2"/>
        <v>1101-47</v>
      </c>
      <c r="K299" s="71" t="str">
        <f>E298</f>
        <v>Beban Lain-Lain</v>
      </c>
      <c r="L299" s="34" t="str">
        <f t="shared" si="3"/>
        <v>6108</v>
      </c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5.75" customHeight="1">
      <c r="A300" s="118">
        <v>46246.0</v>
      </c>
      <c r="B300" s="131"/>
      <c r="C300" s="120" t="s">
        <v>270</v>
      </c>
      <c r="D300" s="121" t="s">
        <v>77</v>
      </c>
      <c r="E300" s="43" t="str">
        <f>IFERROR(VLOOKUP(D300,'Daftar Akun'!A$6:$B$103,2,FALSE),"")</f>
        <v>Prive</v>
      </c>
      <c r="F300" s="122">
        <v>138000.0</v>
      </c>
      <c r="G300" s="129"/>
      <c r="H300" s="34"/>
      <c r="I300" s="68">
        <f t="shared" si="1"/>
        <v>5</v>
      </c>
      <c r="J300" s="68" t="str">
        <f t="shared" si="2"/>
        <v>3102-5</v>
      </c>
      <c r="K300" s="71" t="str">
        <f>E301</f>
        <v>Kas</v>
      </c>
      <c r="L300" s="34" t="str">
        <f t="shared" si="3"/>
        <v>1101</v>
      </c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5.75" customHeight="1">
      <c r="A301" s="118">
        <v>46246.0</v>
      </c>
      <c r="B301" s="131"/>
      <c r="C301" s="120" t="s">
        <v>270</v>
      </c>
      <c r="D301" s="121" t="s">
        <v>18</v>
      </c>
      <c r="E301" s="43" t="str">
        <f>IFERROR(VLOOKUP(D301,'Daftar Akun'!A$6:$B$103,2,FALSE),"")</f>
        <v>Kas</v>
      </c>
      <c r="F301" s="129"/>
      <c r="G301" s="122">
        <v>138000.0</v>
      </c>
      <c r="H301" s="34"/>
      <c r="I301" s="68">
        <f t="shared" si="1"/>
        <v>48</v>
      </c>
      <c r="J301" s="68" t="str">
        <f t="shared" si="2"/>
        <v>1101-48</v>
      </c>
      <c r="K301" s="71" t="str">
        <f>E300</f>
        <v>Prive</v>
      </c>
      <c r="L301" s="34" t="str">
        <f t="shared" si="3"/>
        <v>3102</v>
      </c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5.75" customHeight="1">
      <c r="A302" s="118">
        <v>46246.0</v>
      </c>
      <c r="B302" s="131"/>
      <c r="C302" s="120" t="s">
        <v>357</v>
      </c>
      <c r="D302" s="121" t="s">
        <v>93</v>
      </c>
      <c r="E302" s="43" t="str">
        <f>IFERROR(VLOOKUP(D302,'Daftar Akun'!A$6:$B$103,2,FALSE),"")</f>
        <v>Pembelian Bunga</v>
      </c>
      <c r="F302" s="122">
        <v>15000.0</v>
      </c>
      <c r="G302" s="129"/>
      <c r="H302" s="34"/>
      <c r="I302" s="68">
        <f t="shared" si="1"/>
        <v>53</v>
      </c>
      <c r="J302" s="68" t="str">
        <f t="shared" si="2"/>
        <v>5101-53</v>
      </c>
      <c r="K302" s="71" t="str">
        <f>E303</f>
        <v>Kas</v>
      </c>
      <c r="L302" s="34" t="str">
        <f t="shared" si="3"/>
        <v>1101</v>
      </c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5.75" customHeight="1">
      <c r="A303" s="118">
        <v>46246.0</v>
      </c>
      <c r="B303" s="131"/>
      <c r="C303" s="120" t="s">
        <v>357</v>
      </c>
      <c r="D303" s="121" t="s">
        <v>18</v>
      </c>
      <c r="E303" s="43" t="str">
        <f>IFERROR(VLOOKUP(D303,'Daftar Akun'!A$6:$B$103,2,FALSE),"")</f>
        <v>Kas</v>
      </c>
      <c r="F303" s="129"/>
      <c r="G303" s="122">
        <v>15000.0</v>
      </c>
      <c r="H303" s="34"/>
      <c r="I303" s="68">
        <f t="shared" si="1"/>
        <v>49</v>
      </c>
      <c r="J303" s="68" t="str">
        <f t="shared" si="2"/>
        <v>1101-49</v>
      </c>
      <c r="K303" s="71" t="str">
        <f>E302</f>
        <v>Pembelian Bunga</v>
      </c>
      <c r="L303" s="34" t="str">
        <f t="shared" si="3"/>
        <v>5101</v>
      </c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5.75" customHeight="1">
      <c r="A304" s="118">
        <v>46246.0</v>
      </c>
      <c r="B304" s="119" t="s">
        <v>358</v>
      </c>
      <c r="C304" s="120" t="s">
        <v>249</v>
      </c>
      <c r="D304" s="121" t="s">
        <v>93</v>
      </c>
      <c r="E304" s="43" t="str">
        <f>IFERROR(VLOOKUP(D304,'Daftar Akun'!A$6:$B$103,2,FALSE),"")</f>
        <v>Pembelian Bunga</v>
      </c>
      <c r="F304" s="122">
        <v>80000.0</v>
      </c>
      <c r="G304" s="129"/>
      <c r="H304" s="34"/>
      <c r="I304" s="68">
        <f t="shared" si="1"/>
        <v>54</v>
      </c>
      <c r="J304" s="68" t="str">
        <f t="shared" si="2"/>
        <v>5101-54</v>
      </c>
      <c r="K304" s="71" t="str">
        <f>E305</f>
        <v>Kas</v>
      </c>
      <c r="L304" s="34" t="str">
        <f t="shared" si="3"/>
        <v>1101</v>
      </c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5.75" customHeight="1">
      <c r="A305" s="118">
        <v>46246.0</v>
      </c>
      <c r="B305" s="119" t="s">
        <v>358</v>
      </c>
      <c r="C305" s="120" t="s">
        <v>249</v>
      </c>
      <c r="D305" s="121" t="s">
        <v>18</v>
      </c>
      <c r="E305" s="43" t="str">
        <f>IFERROR(VLOOKUP(D305,'Daftar Akun'!A$6:$B$103,2,FALSE),"")</f>
        <v>Kas</v>
      </c>
      <c r="F305" s="129"/>
      <c r="G305" s="122">
        <v>80000.0</v>
      </c>
      <c r="H305" s="34"/>
      <c r="I305" s="68">
        <f t="shared" si="1"/>
        <v>50</v>
      </c>
      <c r="J305" s="68" t="str">
        <f t="shared" si="2"/>
        <v>1101-50</v>
      </c>
      <c r="K305" s="71" t="str">
        <f>E304</f>
        <v>Pembelian Bunga</v>
      </c>
      <c r="L305" s="34" t="str">
        <f t="shared" si="3"/>
        <v>5101</v>
      </c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5.75" customHeight="1">
      <c r="A306" s="118">
        <v>46246.0</v>
      </c>
      <c r="B306" s="119" t="s">
        <v>359</v>
      </c>
      <c r="C306" s="120" t="s">
        <v>320</v>
      </c>
      <c r="D306" s="121" t="s">
        <v>93</v>
      </c>
      <c r="E306" s="43" t="str">
        <f>IFERROR(VLOOKUP(D306,'Daftar Akun'!A$6:$B$103,2,FALSE),"")</f>
        <v>Pembelian Bunga</v>
      </c>
      <c r="F306" s="122">
        <v>30000.0</v>
      </c>
      <c r="G306" s="129"/>
      <c r="H306" s="34"/>
      <c r="I306" s="68">
        <f t="shared" si="1"/>
        <v>55</v>
      </c>
      <c r="J306" s="68" t="str">
        <f t="shared" si="2"/>
        <v>5101-55</v>
      </c>
      <c r="K306" s="71" t="str">
        <f>E307</f>
        <v>Kas</v>
      </c>
      <c r="L306" s="34" t="str">
        <f t="shared" si="3"/>
        <v>1101</v>
      </c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5.75" customHeight="1">
      <c r="A307" s="118">
        <v>46246.0</v>
      </c>
      <c r="B307" s="119" t="s">
        <v>359</v>
      </c>
      <c r="C307" s="120" t="s">
        <v>320</v>
      </c>
      <c r="D307" s="121" t="s">
        <v>18</v>
      </c>
      <c r="E307" s="43" t="str">
        <f>IFERROR(VLOOKUP(D307,'Daftar Akun'!A$6:$B$103,2,FALSE),"")</f>
        <v>Kas</v>
      </c>
      <c r="F307" s="129"/>
      <c r="G307" s="122">
        <v>30000.0</v>
      </c>
      <c r="H307" s="34"/>
      <c r="I307" s="68">
        <f t="shared" si="1"/>
        <v>51</v>
      </c>
      <c r="J307" s="68" t="str">
        <f t="shared" si="2"/>
        <v>1101-51</v>
      </c>
      <c r="K307" s="71" t="str">
        <f>E306</f>
        <v>Pembelian Bunga</v>
      </c>
      <c r="L307" s="34" t="str">
        <f t="shared" si="3"/>
        <v>5101</v>
      </c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5.75" customHeight="1">
      <c r="A308" s="118">
        <v>46246.0</v>
      </c>
      <c r="B308" s="119" t="s">
        <v>360</v>
      </c>
      <c r="C308" s="120" t="s">
        <v>361</v>
      </c>
      <c r="D308" s="121" t="s">
        <v>18</v>
      </c>
      <c r="E308" s="43" t="str">
        <f>IFERROR(VLOOKUP(D308,'Daftar Akun'!A$6:$B$103,2,FALSE),"")</f>
        <v>Kas</v>
      </c>
      <c r="F308" s="122">
        <v>25000.0</v>
      </c>
      <c r="G308" s="129"/>
      <c r="H308" s="34"/>
      <c r="I308" s="68">
        <f t="shared" si="1"/>
        <v>52</v>
      </c>
      <c r="J308" s="68" t="str">
        <f t="shared" si="2"/>
        <v>1101-52</v>
      </c>
      <c r="K308" s="71" t="str">
        <f>E309</f>
        <v>Penjualan</v>
      </c>
      <c r="L308" s="34" t="str">
        <f t="shared" si="3"/>
        <v>4101</v>
      </c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5.75" customHeight="1">
      <c r="A309" s="118">
        <v>46246.0</v>
      </c>
      <c r="B309" s="119" t="s">
        <v>360</v>
      </c>
      <c r="C309" s="120" t="s">
        <v>361</v>
      </c>
      <c r="D309" s="121" t="s">
        <v>80</v>
      </c>
      <c r="E309" s="43" t="str">
        <f>IFERROR(VLOOKUP(D309,'Daftar Akun'!A$6:$B$103,2,FALSE),"")</f>
        <v>Penjualan</v>
      </c>
      <c r="F309" s="129"/>
      <c r="G309" s="122">
        <v>25000.0</v>
      </c>
      <c r="H309" s="34"/>
      <c r="I309" s="68">
        <f t="shared" si="1"/>
        <v>33</v>
      </c>
      <c r="J309" s="68" t="str">
        <f t="shared" si="2"/>
        <v>4101-33</v>
      </c>
      <c r="K309" s="71" t="str">
        <f>E308</f>
        <v>Kas</v>
      </c>
      <c r="L309" s="34" t="str">
        <f t="shared" si="3"/>
        <v>1101</v>
      </c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5.75" customHeight="1">
      <c r="A310" s="118">
        <v>46246.0</v>
      </c>
      <c r="B310" s="131"/>
      <c r="C310" s="120" t="s">
        <v>362</v>
      </c>
      <c r="D310" s="121" t="s">
        <v>33</v>
      </c>
      <c r="E310" s="43" t="str">
        <f>IFERROR(VLOOKUP(D310,'Daftar Akun'!A$6:$B$103,2,FALSE),"")</f>
        <v>Bank</v>
      </c>
      <c r="F310" s="122">
        <v>1295496.0</v>
      </c>
      <c r="G310" s="129"/>
      <c r="H310" s="34"/>
      <c r="I310" s="68">
        <f t="shared" si="1"/>
        <v>69</v>
      </c>
      <c r="J310" s="68" t="str">
        <f t="shared" si="2"/>
        <v>1102-69</v>
      </c>
      <c r="K310" s="71" t="str">
        <f>E311</f>
        <v>Piutang Ongkir</v>
      </c>
      <c r="L310" s="34" t="str">
        <f t="shared" si="3"/>
        <v>1107</v>
      </c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5.75" customHeight="1">
      <c r="A311" s="118">
        <v>46246.0</v>
      </c>
      <c r="B311" s="131"/>
      <c r="C311" s="120" t="s">
        <v>362</v>
      </c>
      <c r="D311" s="121" t="s">
        <v>51</v>
      </c>
      <c r="E311" s="43" t="str">
        <f>IFERROR(VLOOKUP(D311,'Daftar Akun'!A$6:$B$103,2,FALSE),"")</f>
        <v>Piutang Ongkir</v>
      </c>
      <c r="F311" s="129"/>
      <c r="G311" s="122">
        <v>1295496.0</v>
      </c>
      <c r="H311" s="34"/>
      <c r="I311" s="68">
        <f t="shared" si="1"/>
        <v>22</v>
      </c>
      <c r="J311" s="68" t="str">
        <f t="shared" si="2"/>
        <v>1107-22</v>
      </c>
      <c r="K311" s="71" t="str">
        <f>E310</f>
        <v>Bank</v>
      </c>
      <c r="L311" s="34" t="str">
        <f t="shared" si="3"/>
        <v>1102</v>
      </c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5.75" customHeight="1">
      <c r="A312" s="118">
        <v>46246.0</v>
      </c>
      <c r="B312" s="131"/>
      <c r="C312" s="120" t="s">
        <v>363</v>
      </c>
      <c r="D312" s="121" t="s">
        <v>33</v>
      </c>
      <c r="E312" s="43" t="str">
        <f>IFERROR(VLOOKUP(D312,'Daftar Akun'!A$6:$B$103,2,FALSE),"")</f>
        <v>Bank</v>
      </c>
      <c r="F312" s="122">
        <v>1827000.0</v>
      </c>
      <c r="G312" s="129"/>
      <c r="H312" s="34"/>
      <c r="I312" s="68">
        <f t="shared" si="1"/>
        <v>70</v>
      </c>
      <c r="J312" s="68" t="str">
        <f t="shared" si="2"/>
        <v>1102-70</v>
      </c>
      <c r="K312" s="71" t="str">
        <f>E313</f>
        <v>Piutang Dagang</v>
      </c>
      <c r="L312" s="34" t="str">
        <f t="shared" si="3"/>
        <v>1103</v>
      </c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5.75" customHeight="1">
      <c r="A313" s="118">
        <v>46246.0</v>
      </c>
      <c r="B313" s="131"/>
      <c r="C313" s="120" t="s">
        <v>363</v>
      </c>
      <c r="D313" s="121" t="s">
        <v>36</v>
      </c>
      <c r="E313" s="43" t="str">
        <f>IFERROR(VLOOKUP(D313,'Daftar Akun'!A$6:$B$103,2,FALSE),"")</f>
        <v>Piutang Dagang</v>
      </c>
      <c r="F313" s="129"/>
      <c r="G313" s="122">
        <v>1827000.0</v>
      </c>
      <c r="H313" s="34"/>
      <c r="I313" s="68">
        <f t="shared" si="1"/>
        <v>35</v>
      </c>
      <c r="J313" s="68" t="str">
        <f t="shared" si="2"/>
        <v>1103-35</v>
      </c>
      <c r="K313" s="71" t="str">
        <f>E312</f>
        <v>Bank</v>
      </c>
      <c r="L313" s="34" t="str">
        <f t="shared" si="3"/>
        <v>1102</v>
      </c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5.75" customHeight="1">
      <c r="A314" s="118">
        <v>46246.0</v>
      </c>
      <c r="B314" s="119" t="s">
        <v>364</v>
      </c>
      <c r="C314" s="120" t="s">
        <v>198</v>
      </c>
      <c r="D314" s="121" t="s">
        <v>36</v>
      </c>
      <c r="E314" s="43" t="str">
        <f>IFERROR(VLOOKUP(D314,'Daftar Akun'!A$6:$B$103,2,FALSE),"")</f>
        <v>Piutang Dagang</v>
      </c>
      <c r="F314" s="122">
        <v>180000.0</v>
      </c>
      <c r="G314" s="129"/>
      <c r="H314" s="34"/>
      <c r="I314" s="68">
        <f t="shared" si="1"/>
        <v>36</v>
      </c>
      <c r="J314" s="68" t="str">
        <f t="shared" si="2"/>
        <v>1103-36</v>
      </c>
      <c r="K314" s="71" t="str">
        <f>E315</f>
        <v>Penjualan</v>
      </c>
      <c r="L314" s="34" t="str">
        <f t="shared" si="3"/>
        <v>4101</v>
      </c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5.75" customHeight="1">
      <c r="A315" s="118">
        <v>46246.0</v>
      </c>
      <c r="B315" s="119" t="s">
        <v>364</v>
      </c>
      <c r="C315" s="120" t="s">
        <v>198</v>
      </c>
      <c r="D315" s="121" t="s">
        <v>80</v>
      </c>
      <c r="E315" s="43" t="str">
        <f>IFERROR(VLOOKUP(D315,'Daftar Akun'!A$6:$B$103,2,FALSE),"")</f>
        <v>Penjualan</v>
      </c>
      <c r="F315" s="129"/>
      <c r="G315" s="122">
        <v>180000.0</v>
      </c>
      <c r="H315" s="34"/>
      <c r="I315" s="68">
        <f t="shared" si="1"/>
        <v>34</v>
      </c>
      <c r="J315" s="68" t="str">
        <f t="shared" si="2"/>
        <v>4101-34</v>
      </c>
      <c r="K315" s="71" t="str">
        <f>E314</f>
        <v>Piutang Dagang</v>
      </c>
      <c r="L315" s="34" t="str">
        <f t="shared" si="3"/>
        <v>1103</v>
      </c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5.75" customHeight="1">
      <c r="A316" s="118">
        <v>46246.0</v>
      </c>
      <c r="B316" s="119" t="s">
        <v>365</v>
      </c>
      <c r="C316" s="120" t="s">
        <v>195</v>
      </c>
      <c r="D316" s="121" t="s">
        <v>93</v>
      </c>
      <c r="E316" s="43" t="str">
        <f>IFERROR(VLOOKUP(D316,'Daftar Akun'!A$6:$B$103,2,FALSE),"")</f>
        <v>Pembelian Bunga</v>
      </c>
      <c r="F316" s="122">
        <v>170000.0</v>
      </c>
      <c r="G316" s="129"/>
      <c r="H316" s="34"/>
      <c r="I316" s="68">
        <f t="shared" si="1"/>
        <v>56</v>
      </c>
      <c r="J316" s="68" t="str">
        <f t="shared" si="2"/>
        <v>5101-56</v>
      </c>
      <c r="K316" s="71" t="str">
        <f>E317</f>
        <v>Hutang Dagang</v>
      </c>
      <c r="L316" s="34" t="str">
        <f t="shared" si="3"/>
        <v>2101</v>
      </c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5.75" customHeight="1">
      <c r="A317" s="118">
        <v>46246.0</v>
      </c>
      <c r="B317" s="119" t="s">
        <v>365</v>
      </c>
      <c r="C317" s="120" t="s">
        <v>195</v>
      </c>
      <c r="D317" s="121" t="s">
        <v>67</v>
      </c>
      <c r="E317" s="43" t="str">
        <f>IFERROR(VLOOKUP(D317,'Daftar Akun'!A$6:$B$103,2,FALSE),"")</f>
        <v>Hutang Dagang</v>
      </c>
      <c r="F317" s="129"/>
      <c r="G317" s="122">
        <v>170000.0</v>
      </c>
      <c r="H317" s="34"/>
      <c r="I317" s="68">
        <f t="shared" si="1"/>
        <v>11</v>
      </c>
      <c r="J317" s="68" t="str">
        <f t="shared" si="2"/>
        <v>2101-11</v>
      </c>
      <c r="K317" s="71" t="str">
        <f>E316</f>
        <v>Pembelian Bunga</v>
      </c>
      <c r="L317" s="34" t="str">
        <f t="shared" si="3"/>
        <v>5101</v>
      </c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5.75" customHeight="1">
      <c r="A318" s="118">
        <v>46246.0</v>
      </c>
      <c r="B318" s="119" t="s">
        <v>366</v>
      </c>
      <c r="C318" s="120" t="s">
        <v>262</v>
      </c>
      <c r="D318" s="121" t="s">
        <v>36</v>
      </c>
      <c r="E318" s="43" t="str">
        <f>IFERROR(VLOOKUP(D318,'Daftar Akun'!A$6:$B$103,2,FALSE),"")</f>
        <v>Piutang Dagang</v>
      </c>
      <c r="F318" s="122">
        <v>535000.0</v>
      </c>
      <c r="G318" s="129"/>
      <c r="H318" s="34"/>
      <c r="I318" s="68">
        <f t="shared" si="1"/>
        <v>37</v>
      </c>
      <c r="J318" s="68" t="str">
        <f t="shared" si="2"/>
        <v>1103-37</v>
      </c>
      <c r="K318" s="71" t="str">
        <f>E319</f>
        <v>Penjualan</v>
      </c>
      <c r="L318" s="34" t="str">
        <f t="shared" si="3"/>
        <v>4101</v>
      </c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5.75" customHeight="1">
      <c r="A319" s="118">
        <v>46246.0</v>
      </c>
      <c r="B319" s="119" t="s">
        <v>366</v>
      </c>
      <c r="C319" s="120" t="s">
        <v>262</v>
      </c>
      <c r="D319" s="121" t="s">
        <v>80</v>
      </c>
      <c r="E319" s="43" t="str">
        <f>IFERROR(VLOOKUP(D319,'Daftar Akun'!A$6:$B$103,2,FALSE),"")</f>
        <v>Penjualan</v>
      </c>
      <c r="F319" s="129"/>
      <c r="G319" s="122">
        <v>535000.0</v>
      </c>
      <c r="H319" s="34"/>
      <c r="I319" s="68">
        <f t="shared" si="1"/>
        <v>35</v>
      </c>
      <c r="J319" s="68" t="str">
        <f t="shared" si="2"/>
        <v>4101-35</v>
      </c>
      <c r="K319" s="71" t="str">
        <f>E318</f>
        <v>Piutang Dagang</v>
      </c>
      <c r="L319" s="34" t="str">
        <f t="shared" si="3"/>
        <v>1103</v>
      </c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5.75" customHeight="1">
      <c r="A320" s="118">
        <v>46246.0</v>
      </c>
      <c r="B320" s="119" t="s">
        <v>367</v>
      </c>
      <c r="C320" s="120" t="s">
        <v>295</v>
      </c>
      <c r="D320" s="121" t="s">
        <v>36</v>
      </c>
      <c r="E320" s="43" t="str">
        <f>IFERROR(VLOOKUP(D320,'Daftar Akun'!A$6:$B$103,2,FALSE),"")</f>
        <v>Piutang Dagang</v>
      </c>
      <c r="F320" s="122">
        <v>910000.0</v>
      </c>
      <c r="G320" s="129"/>
      <c r="H320" s="34"/>
      <c r="I320" s="68">
        <f t="shared" si="1"/>
        <v>38</v>
      </c>
      <c r="J320" s="68" t="str">
        <f t="shared" si="2"/>
        <v>1103-38</v>
      </c>
      <c r="K320" s="71" t="str">
        <f>E321</f>
        <v>Penjualan</v>
      </c>
      <c r="L320" s="34" t="str">
        <f t="shared" si="3"/>
        <v>4101</v>
      </c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5.75" customHeight="1">
      <c r="A321" s="118">
        <v>46246.0</v>
      </c>
      <c r="B321" s="119" t="s">
        <v>367</v>
      </c>
      <c r="C321" s="120" t="s">
        <v>295</v>
      </c>
      <c r="D321" s="121" t="s">
        <v>80</v>
      </c>
      <c r="E321" s="43" t="str">
        <f>IFERROR(VLOOKUP(D321,'Daftar Akun'!A$6:$B$103,2,FALSE),"")</f>
        <v>Penjualan</v>
      </c>
      <c r="F321" s="129"/>
      <c r="G321" s="122">
        <v>910000.0</v>
      </c>
      <c r="H321" s="34"/>
      <c r="I321" s="68">
        <f t="shared" si="1"/>
        <v>36</v>
      </c>
      <c r="J321" s="68" t="str">
        <f t="shared" si="2"/>
        <v>4101-36</v>
      </c>
      <c r="K321" s="71" t="str">
        <f>E320</f>
        <v>Piutang Dagang</v>
      </c>
      <c r="L321" s="34" t="str">
        <f t="shared" si="3"/>
        <v>1103</v>
      </c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5.75" customHeight="1">
      <c r="A322" s="118">
        <v>46246.0</v>
      </c>
      <c r="B322" s="119" t="s">
        <v>368</v>
      </c>
      <c r="C322" s="120" t="s">
        <v>369</v>
      </c>
      <c r="D322" s="121" t="s">
        <v>36</v>
      </c>
      <c r="E322" s="43" t="str">
        <f>IFERROR(VLOOKUP(D322,'Daftar Akun'!A$6:$B$103,2,FALSE),"")</f>
        <v>Piutang Dagang</v>
      </c>
      <c r="F322" s="122">
        <v>777500.0</v>
      </c>
      <c r="G322" s="129"/>
      <c r="H322" s="34"/>
      <c r="I322" s="68">
        <f t="shared" si="1"/>
        <v>39</v>
      </c>
      <c r="J322" s="68" t="str">
        <f t="shared" si="2"/>
        <v>1103-39</v>
      </c>
      <c r="K322" s="71" t="str">
        <f>E323</f>
        <v>Penjualan</v>
      </c>
      <c r="L322" s="34" t="str">
        <f t="shared" si="3"/>
        <v>4101</v>
      </c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5.75" customHeight="1">
      <c r="A323" s="118">
        <v>46246.0</v>
      </c>
      <c r="B323" s="119" t="s">
        <v>368</v>
      </c>
      <c r="C323" s="120" t="s">
        <v>369</v>
      </c>
      <c r="D323" s="121" t="s">
        <v>80</v>
      </c>
      <c r="E323" s="43" t="str">
        <f>IFERROR(VLOOKUP(D323,'Daftar Akun'!A$6:$B$103,2,FALSE),"")</f>
        <v>Penjualan</v>
      </c>
      <c r="F323" s="129"/>
      <c r="G323" s="122">
        <v>777500.0</v>
      </c>
      <c r="H323" s="34"/>
      <c r="I323" s="68">
        <f t="shared" si="1"/>
        <v>37</v>
      </c>
      <c r="J323" s="68" t="str">
        <f t="shared" si="2"/>
        <v>4101-37</v>
      </c>
      <c r="K323" s="71" t="str">
        <f>E322</f>
        <v>Piutang Dagang</v>
      </c>
      <c r="L323" s="34" t="str">
        <f t="shared" si="3"/>
        <v>1103</v>
      </c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5.75" customHeight="1">
      <c r="A324" s="118">
        <v>46247.0</v>
      </c>
      <c r="B324" s="131"/>
      <c r="C324" s="120" t="s">
        <v>370</v>
      </c>
      <c r="D324" s="121" t="s">
        <v>51</v>
      </c>
      <c r="E324" s="43" t="str">
        <f>IFERROR(VLOOKUP(D324,'Daftar Akun'!A$6:$B$103,2,FALSE),"")</f>
        <v>Piutang Ongkir</v>
      </c>
      <c r="F324" s="122">
        <v>1561995.0</v>
      </c>
      <c r="G324" s="129"/>
      <c r="H324" s="34"/>
      <c r="I324" s="68">
        <f t="shared" si="1"/>
        <v>23</v>
      </c>
      <c r="J324" s="68" t="str">
        <f t="shared" si="2"/>
        <v>1107-23</v>
      </c>
      <c r="K324" s="71" t="str">
        <f>E325</f>
        <v>Bank</v>
      </c>
      <c r="L324" s="34" t="str">
        <f t="shared" si="3"/>
        <v>1102</v>
      </c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5.75" customHeight="1">
      <c r="A325" s="118">
        <v>46247.0</v>
      </c>
      <c r="B325" s="131"/>
      <c r="C325" s="120" t="s">
        <v>370</v>
      </c>
      <c r="D325" s="121" t="s">
        <v>33</v>
      </c>
      <c r="E325" s="43" t="str">
        <f>IFERROR(VLOOKUP(D325,'Daftar Akun'!A$6:$B$103,2,FALSE),"")</f>
        <v>Bank</v>
      </c>
      <c r="F325" s="129"/>
      <c r="G325" s="122">
        <v>1561995.0</v>
      </c>
      <c r="H325" s="34"/>
      <c r="I325" s="68">
        <f t="shared" si="1"/>
        <v>71</v>
      </c>
      <c r="J325" s="68" t="str">
        <f t="shared" si="2"/>
        <v>1102-71</v>
      </c>
      <c r="K325" s="71" t="str">
        <f>E324</f>
        <v>Piutang Ongkir</v>
      </c>
      <c r="L325" s="34" t="str">
        <f t="shared" si="3"/>
        <v>1107</v>
      </c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5.75" customHeight="1">
      <c r="A326" s="118">
        <v>46247.0</v>
      </c>
      <c r="B326" s="131"/>
      <c r="C326" s="120" t="s">
        <v>371</v>
      </c>
      <c r="D326" s="121" t="s">
        <v>93</v>
      </c>
      <c r="E326" s="43" t="str">
        <f>IFERROR(VLOOKUP(D326,'Daftar Akun'!A$6:$B$103,2,FALSE),"")</f>
        <v>Pembelian Bunga</v>
      </c>
      <c r="F326" s="122">
        <v>150000.0</v>
      </c>
      <c r="G326" s="129"/>
      <c r="H326" s="34"/>
      <c r="I326" s="68">
        <f t="shared" si="1"/>
        <v>57</v>
      </c>
      <c r="J326" s="68" t="str">
        <f t="shared" si="2"/>
        <v>5101-57</v>
      </c>
      <c r="K326" s="71" t="str">
        <f>E327</f>
        <v>Bank</v>
      </c>
      <c r="L326" s="34" t="str">
        <f t="shared" si="3"/>
        <v>1102</v>
      </c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5.75" customHeight="1">
      <c r="A327" s="118">
        <v>46247.0</v>
      </c>
      <c r="B327" s="131"/>
      <c r="C327" s="120" t="s">
        <v>371</v>
      </c>
      <c r="D327" s="121" t="s">
        <v>33</v>
      </c>
      <c r="E327" s="43" t="str">
        <f>IFERROR(VLOOKUP(D327,'Daftar Akun'!A$6:$B$103,2,FALSE),"")</f>
        <v>Bank</v>
      </c>
      <c r="F327" s="129"/>
      <c r="G327" s="122">
        <v>150000.0</v>
      </c>
      <c r="H327" s="34"/>
      <c r="I327" s="68">
        <f t="shared" si="1"/>
        <v>72</v>
      </c>
      <c r="J327" s="68" t="str">
        <f t="shared" si="2"/>
        <v>1102-72</v>
      </c>
      <c r="K327" s="71" t="str">
        <f>E326</f>
        <v>Pembelian Bunga</v>
      </c>
      <c r="L327" s="34" t="str">
        <f t="shared" si="3"/>
        <v>5101</v>
      </c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5.75" customHeight="1">
      <c r="A328" s="118">
        <v>46247.0</v>
      </c>
      <c r="B328" s="131"/>
      <c r="C328" s="120" t="s">
        <v>372</v>
      </c>
      <c r="D328" s="121" t="s">
        <v>80</v>
      </c>
      <c r="E328" s="43" t="str">
        <f>IFERROR(VLOOKUP(D328,'Daftar Akun'!A$6:$B$103,2,FALSE),"")</f>
        <v>Penjualan</v>
      </c>
      <c r="F328" s="122">
        <v>100000.0</v>
      </c>
      <c r="G328" s="129"/>
      <c r="H328" s="34"/>
      <c r="I328" s="68">
        <f t="shared" si="1"/>
        <v>38</v>
      </c>
      <c r="J328" s="68" t="str">
        <f t="shared" si="2"/>
        <v>4101-38</v>
      </c>
      <c r="K328" s="71" t="str">
        <f>E329</f>
        <v>Bank</v>
      </c>
      <c r="L328" s="34" t="str">
        <f t="shared" si="3"/>
        <v>1102</v>
      </c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5.75" customHeight="1">
      <c r="A329" s="118">
        <v>46247.0</v>
      </c>
      <c r="B329" s="131"/>
      <c r="C329" s="120" t="s">
        <v>372</v>
      </c>
      <c r="D329" s="121" t="s">
        <v>33</v>
      </c>
      <c r="E329" s="43" t="str">
        <f>IFERROR(VLOOKUP(D329,'Daftar Akun'!A$6:$B$103,2,FALSE),"")</f>
        <v>Bank</v>
      </c>
      <c r="F329" s="129"/>
      <c r="G329" s="122">
        <v>100000.0</v>
      </c>
      <c r="H329" s="34"/>
      <c r="I329" s="68">
        <f t="shared" si="1"/>
        <v>73</v>
      </c>
      <c r="J329" s="68" t="str">
        <f t="shared" si="2"/>
        <v>1102-73</v>
      </c>
      <c r="K329" s="71" t="str">
        <f>E328</f>
        <v>Penjualan</v>
      </c>
      <c r="L329" s="34" t="str">
        <f t="shared" si="3"/>
        <v>4101</v>
      </c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5.75" customHeight="1">
      <c r="A330" s="118">
        <v>46247.0</v>
      </c>
      <c r="B330" s="131"/>
      <c r="C330" s="120" t="s">
        <v>157</v>
      </c>
      <c r="D330" s="121" t="s">
        <v>93</v>
      </c>
      <c r="E330" s="43" t="str">
        <f>IFERROR(VLOOKUP(D330,'Daftar Akun'!A$6:$B$103,2,FALSE),"")</f>
        <v>Pembelian Bunga</v>
      </c>
      <c r="F330" s="122">
        <v>700000.0</v>
      </c>
      <c r="G330" s="129"/>
      <c r="H330" s="34"/>
      <c r="I330" s="68">
        <f t="shared" si="1"/>
        <v>58</v>
      </c>
      <c r="J330" s="68" t="str">
        <f t="shared" si="2"/>
        <v>5101-58</v>
      </c>
      <c r="K330" s="71" t="str">
        <f>E331</f>
        <v>Bank</v>
      </c>
      <c r="L330" s="34" t="str">
        <f t="shared" si="3"/>
        <v>1102</v>
      </c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5.75" customHeight="1">
      <c r="A331" s="118">
        <v>46247.0</v>
      </c>
      <c r="B331" s="131"/>
      <c r="C331" s="120" t="s">
        <v>157</v>
      </c>
      <c r="D331" s="121" t="s">
        <v>33</v>
      </c>
      <c r="E331" s="43" t="str">
        <f>IFERROR(VLOOKUP(D331,'Daftar Akun'!A$6:$B$103,2,FALSE),"")</f>
        <v>Bank</v>
      </c>
      <c r="F331" s="129"/>
      <c r="G331" s="122">
        <v>700000.0</v>
      </c>
      <c r="H331" s="34"/>
      <c r="I331" s="68">
        <f t="shared" si="1"/>
        <v>74</v>
      </c>
      <c r="J331" s="68" t="str">
        <f t="shared" si="2"/>
        <v>1102-74</v>
      </c>
      <c r="K331" s="71" t="str">
        <f>E330</f>
        <v>Pembelian Bunga</v>
      </c>
      <c r="L331" s="34" t="str">
        <f t="shared" si="3"/>
        <v>5101</v>
      </c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5.75" customHeight="1">
      <c r="A332" s="118">
        <v>46247.0</v>
      </c>
      <c r="B332" s="119" t="s">
        <v>373</v>
      </c>
      <c r="C332" s="120" t="s">
        <v>361</v>
      </c>
      <c r="D332" s="121" t="s">
        <v>18</v>
      </c>
      <c r="E332" s="43" t="str">
        <f>IFERROR(VLOOKUP(D332,'Daftar Akun'!A$6:$B$103,2,FALSE),"")</f>
        <v>Kas</v>
      </c>
      <c r="F332" s="122">
        <v>50000.0</v>
      </c>
      <c r="G332" s="129"/>
      <c r="H332" s="34"/>
      <c r="I332" s="68">
        <f t="shared" si="1"/>
        <v>53</v>
      </c>
      <c r="J332" s="68" t="str">
        <f t="shared" si="2"/>
        <v>1101-53</v>
      </c>
      <c r="K332" s="71" t="str">
        <f>E333</f>
        <v>Penjualan</v>
      </c>
      <c r="L332" s="34" t="str">
        <f t="shared" si="3"/>
        <v>4101</v>
      </c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5.75" customHeight="1">
      <c r="A333" s="118">
        <v>46247.0</v>
      </c>
      <c r="B333" s="119" t="s">
        <v>373</v>
      </c>
      <c r="C333" s="120" t="s">
        <v>361</v>
      </c>
      <c r="D333" s="121" t="s">
        <v>80</v>
      </c>
      <c r="E333" s="43" t="str">
        <f>IFERROR(VLOOKUP(D333,'Daftar Akun'!A$6:$B$103,2,FALSE),"")</f>
        <v>Penjualan</v>
      </c>
      <c r="F333" s="129"/>
      <c r="G333" s="122">
        <v>50000.0</v>
      </c>
      <c r="H333" s="34"/>
      <c r="I333" s="68">
        <f t="shared" si="1"/>
        <v>39</v>
      </c>
      <c r="J333" s="68" t="str">
        <f t="shared" si="2"/>
        <v>4101-39</v>
      </c>
      <c r="K333" s="71" t="str">
        <f>E332</f>
        <v>Kas</v>
      </c>
      <c r="L333" s="34" t="str">
        <f t="shared" si="3"/>
        <v>1101</v>
      </c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5.75" customHeight="1">
      <c r="A334" s="118">
        <v>46247.0</v>
      </c>
      <c r="B334" s="131"/>
      <c r="C334" s="120" t="s">
        <v>160</v>
      </c>
      <c r="D334" s="121" t="s">
        <v>18</v>
      </c>
      <c r="E334" s="43" t="str">
        <f>IFERROR(VLOOKUP(D334,'Daftar Akun'!A$6:$B$103,2,FALSE),"")</f>
        <v>Kas</v>
      </c>
      <c r="F334" s="122">
        <v>2000000.0</v>
      </c>
      <c r="G334" s="129"/>
      <c r="H334" s="34"/>
      <c r="I334" s="68">
        <f t="shared" si="1"/>
        <v>54</v>
      </c>
      <c r="J334" s="68" t="str">
        <f t="shared" si="2"/>
        <v>1101-54</v>
      </c>
      <c r="K334" s="71" t="str">
        <f>E335</f>
        <v>Bank</v>
      </c>
      <c r="L334" s="34" t="str">
        <f t="shared" si="3"/>
        <v>1102</v>
      </c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5.75" customHeight="1">
      <c r="A335" s="118">
        <v>46247.0</v>
      </c>
      <c r="B335" s="131"/>
      <c r="C335" s="120" t="s">
        <v>160</v>
      </c>
      <c r="D335" s="121" t="s">
        <v>33</v>
      </c>
      <c r="E335" s="43" t="str">
        <f>IFERROR(VLOOKUP(D335,'Daftar Akun'!A$6:$B$103,2,FALSE),"")</f>
        <v>Bank</v>
      </c>
      <c r="F335" s="129"/>
      <c r="G335" s="122">
        <v>2000000.0</v>
      </c>
      <c r="H335" s="34"/>
      <c r="I335" s="68">
        <f t="shared" si="1"/>
        <v>75</v>
      </c>
      <c r="J335" s="68" t="str">
        <f t="shared" si="2"/>
        <v>1102-75</v>
      </c>
      <c r="K335" s="71" t="str">
        <f>E334</f>
        <v>Kas</v>
      </c>
      <c r="L335" s="34" t="str">
        <f t="shared" si="3"/>
        <v>1101</v>
      </c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5.75" customHeight="1">
      <c r="A336" s="118">
        <v>46247.0</v>
      </c>
      <c r="B336" s="119" t="s">
        <v>374</v>
      </c>
      <c r="C336" s="120" t="s">
        <v>249</v>
      </c>
      <c r="D336" s="121" t="s">
        <v>93</v>
      </c>
      <c r="E336" s="43" t="str">
        <f>IFERROR(VLOOKUP(D336,'Daftar Akun'!A$6:$B$103,2,FALSE),"")</f>
        <v>Pembelian Bunga</v>
      </c>
      <c r="F336" s="122">
        <v>85000.0</v>
      </c>
      <c r="G336" s="129"/>
      <c r="H336" s="34"/>
      <c r="I336" s="68">
        <f t="shared" si="1"/>
        <v>59</v>
      </c>
      <c r="J336" s="68" t="str">
        <f t="shared" si="2"/>
        <v>5101-59</v>
      </c>
      <c r="K336" s="71" t="str">
        <f>E337</f>
        <v>Kas</v>
      </c>
      <c r="L336" s="34" t="str">
        <f t="shared" si="3"/>
        <v>1101</v>
      </c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5.75" customHeight="1">
      <c r="A337" s="118">
        <v>46247.0</v>
      </c>
      <c r="B337" s="119" t="s">
        <v>374</v>
      </c>
      <c r="C337" s="120" t="s">
        <v>249</v>
      </c>
      <c r="D337" s="121" t="s">
        <v>18</v>
      </c>
      <c r="E337" s="43" t="str">
        <f>IFERROR(VLOOKUP(D337,'Daftar Akun'!A$6:$B$103,2,FALSE),"")</f>
        <v>Kas</v>
      </c>
      <c r="F337" s="129"/>
      <c r="G337" s="122">
        <v>85000.0</v>
      </c>
      <c r="H337" s="34"/>
      <c r="I337" s="68">
        <f t="shared" si="1"/>
        <v>55</v>
      </c>
      <c r="J337" s="68" t="str">
        <f t="shared" si="2"/>
        <v>1101-55</v>
      </c>
      <c r="K337" s="71" t="str">
        <f>E336</f>
        <v>Pembelian Bunga</v>
      </c>
      <c r="L337" s="34" t="str">
        <f t="shared" si="3"/>
        <v>5101</v>
      </c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5.75" customHeight="1">
      <c r="A338" s="118">
        <v>46247.0</v>
      </c>
      <c r="B338" s="131"/>
      <c r="C338" s="120" t="s">
        <v>377</v>
      </c>
      <c r="D338" s="121" t="s">
        <v>51</v>
      </c>
      <c r="E338" s="43" t="str">
        <f>IFERROR(VLOOKUP(D338,'Daftar Akun'!A$6:$B$103,2,FALSE),"")</f>
        <v>Piutang Ongkir</v>
      </c>
      <c r="F338" s="122">
        <v>70000.0</v>
      </c>
      <c r="G338" s="129"/>
      <c r="H338" s="34"/>
      <c r="I338" s="68">
        <f t="shared" si="1"/>
        <v>24</v>
      </c>
      <c r="J338" s="68" t="str">
        <f t="shared" si="2"/>
        <v>1107-24</v>
      </c>
      <c r="K338" s="71" t="str">
        <f>E339</f>
        <v>Kas</v>
      </c>
      <c r="L338" s="34" t="str">
        <f t="shared" si="3"/>
        <v>1101</v>
      </c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5.75" customHeight="1">
      <c r="A339" s="118">
        <v>46247.0</v>
      </c>
      <c r="B339" s="131"/>
      <c r="C339" s="120" t="s">
        <v>377</v>
      </c>
      <c r="D339" s="121" t="s">
        <v>18</v>
      </c>
      <c r="E339" s="43" t="str">
        <f>IFERROR(VLOOKUP(D339,'Daftar Akun'!A$6:$B$103,2,FALSE),"")</f>
        <v>Kas</v>
      </c>
      <c r="F339" s="129"/>
      <c r="G339" s="122">
        <v>70000.0</v>
      </c>
      <c r="H339" s="34"/>
      <c r="I339" s="68">
        <f t="shared" si="1"/>
        <v>56</v>
      </c>
      <c r="J339" s="68" t="str">
        <f t="shared" si="2"/>
        <v>1101-56</v>
      </c>
      <c r="K339" s="71" t="str">
        <f>E338</f>
        <v>Piutang Ongkir</v>
      </c>
      <c r="L339" s="34" t="str">
        <f t="shared" si="3"/>
        <v>1107</v>
      </c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5.75" customHeight="1">
      <c r="A340" s="118">
        <v>46247.0</v>
      </c>
      <c r="B340" s="131"/>
      <c r="C340" s="120" t="s">
        <v>385</v>
      </c>
      <c r="D340" s="121" t="s">
        <v>51</v>
      </c>
      <c r="E340" s="43" t="str">
        <f>IFERROR(VLOOKUP(D340,'Daftar Akun'!A$6:$B$103,2,FALSE),"")</f>
        <v>Piutang Ongkir</v>
      </c>
      <c r="F340" s="122">
        <v>60000.0</v>
      </c>
      <c r="G340" s="129"/>
      <c r="H340" s="34"/>
      <c r="I340" s="68">
        <f t="shared" si="1"/>
        <v>25</v>
      </c>
      <c r="J340" s="68" t="str">
        <f t="shared" si="2"/>
        <v>1107-25</v>
      </c>
      <c r="K340" s="71" t="str">
        <f>E341</f>
        <v>Bank</v>
      </c>
      <c r="L340" s="34" t="str">
        <f t="shared" si="3"/>
        <v>1102</v>
      </c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5.75" customHeight="1">
      <c r="A341" s="118">
        <v>46247.0</v>
      </c>
      <c r="B341" s="131"/>
      <c r="C341" s="120" t="s">
        <v>385</v>
      </c>
      <c r="D341" s="121" t="s">
        <v>33</v>
      </c>
      <c r="E341" s="43" t="str">
        <f>IFERROR(VLOOKUP(D341,'Daftar Akun'!A$6:$B$103,2,FALSE),"")</f>
        <v>Bank</v>
      </c>
      <c r="F341" s="129"/>
      <c r="G341" s="122">
        <v>60000.0</v>
      </c>
      <c r="H341" s="34"/>
      <c r="I341" s="68">
        <f t="shared" si="1"/>
        <v>76</v>
      </c>
      <c r="J341" s="68" t="str">
        <f t="shared" si="2"/>
        <v>1102-76</v>
      </c>
      <c r="K341" s="71" t="str">
        <f>E340</f>
        <v>Piutang Ongkir</v>
      </c>
      <c r="L341" s="34" t="str">
        <f t="shared" si="3"/>
        <v>1107</v>
      </c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5.75" customHeight="1">
      <c r="A342" s="118">
        <v>46247.0</v>
      </c>
      <c r="B342" s="119" t="s">
        <v>389</v>
      </c>
      <c r="C342" s="120" t="s">
        <v>195</v>
      </c>
      <c r="D342" s="121" t="s">
        <v>93</v>
      </c>
      <c r="E342" s="43" t="str">
        <f>IFERROR(VLOOKUP(D342,'Daftar Akun'!A$6:$B$103,2,FALSE),"")</f>
        <v>Pembelian Bunga</v>
      </c>
      <c r="F342" s="122">
        <v>68000.0</v>
      </c>
      <c r="G342" s="129"/>
      <c r="H342" s="34"/>
      <c r="I342" s="68">
        <f t="shared" si="1"/>
        <v>60</v>
      </c>
      <c r="J342" s="68" t="str">
        <f t="shared" si="2"/>
        <v>5101-60</v>
      </c>
      <c r="K342" s="71" t="str">
        <f>E343</f>
        <v>Hutang Dagang</v>
      </c>
      <c r="L342" s="34" t="str">
        <f t="shared" si="3"/>
        <v>2101</v>
      </c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5.75" customHeight="1">
      <c r="A343" s="118">
        <v>46247.0</v>
      </c>
      <c r="B343" s="119" t="s">
        <v>389</v>
      </c>
      <c r="C343" s="120" t="s">
        <v>195</v>
      </c>
      <c r="D343" s="121" t="s">
        <v>67</v>
      </c>
      <c r="E343" s="43" t="str">
        <f>IFERROR(VLOOKUP(D343,'Daftar Akun'!A$6:$B$103,2,FALSE),"")</f>
        <v>Hutang Dagang</v>
      </c>
      <c r="F343" s="129"/>
      <c r="G343" s="122">
        <v>68000.0</v>
      </c>
      <c r="H343" s="34"/>
      <c r="I343" s="68">
        <f t="shared" si="1"/>
        <v>12</v>
      </c>
      <c r="J343" s="68" t="str">
        <f t="shared" si="2"/>
        <v>2101-12</v>
      </c>
      <c r="K343" s="71" t="str">
        <f>E342</f>
        <v>Pembelian Bunga</v>
      </c>
      <c r="L343" s="34" t="str">
        <f t="shared" si="3"/>
        <v>5101</v>
      </c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5.75" customHeight="1">
      <c r="A344" s="118">
        <v>46247.0</v>
      </c>
      <c r="B344" s="119" t="s">
        <v>399</v>
      </c>
      <c r="C344" s="120" t="s">
        <v>198</v>
      </c>
      <c r="D344" s="121" t="s">
        <v>36</v>
      </c>
      <c r="E344" s="43" t="str">
        <f>IFERROR(VLOOKUP(D344,'Daftar Akun'!A$6:$B$103,2,FALSE),"")</f>
        <v>Piutang Dagang</v>
      </c>
      <c r="F344" s="122">
        <v>480000.0</v>
      </c>
      <c r="G344" s="129"/>
      <c r="H344" s="34"/>
      <c r="I344" s="68">
        <f t="shared" si="1"/>
        <v>40</v>
      </c>
      <c r="J344" s="68" t="str">
        <f t="shared" si="2"/>
        <v>1103-40</v>
      </c>
      <c r="K344" s="71" t="str">
        <f>E345</f>
        <v>Penjualan</v>
      </c>
      <c r="L344" s="34" t="str">
        <f t="shared" si="3"/>
        <v>4101</v>
      </c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5.75" customHeight="1">
      <c r="A345" s="118">
        <v>46247.0</v>
      </c>
      <c r="B345" s="119" t="s">
        <v>399</v>
      </c>
      <c r="C345" s="120" t="s">
        <v>198</v>
      </c>
      <c r="D345" s="121" t="s">
        <v>80</v>
      </c>
      <c r="E345" s="43" t="str">
        <f>IFERROR(VLOOKUP(D345,'Daftar Akun'!A$6:$B$103,2,FALSE),"")</f>
        <v>Penjualan</v>
      </c>
      <c r="F345" s="129"/>
      <c r="G345" s="122">
        <v>480000.0</v>
      </c>
      <c r="H345" s="34"/>
      <c r="I345" s="68">
        <f t="shared" si="1"/>
        <v>40</v>
      </c>
      <c r="J345" s="68" t="str">
        <f t="shared" si="2"/>
        <v>4101-40</v>
      </c>
      <c r="K345" s="71" t="str">
        <f>E344</f>
        <v>Piutang Dagang</v>
      </c>
      <c r="L345" s="34" t="str">
        <f t="shared" si="3"/>
        <v>1103</v>
      </c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5.75" customHeight="1">
      <c r="A346" s="118">
        <v>46247.0</v>
      </c>
      <c r="B346" s="119" t="s">
        <v>401</v>
      </c>
      <c r="C346" s="120" t="s">
        <v>402</v>
      </c>
      <c r="D346" s="121" t="s">
        <v>36</v>
      </c>
      <c r="E346" s="43" t="str">
        <f>IFERROR(VLOOKUP(D346,'Daftar Akun'!A$6:$B$103,2,FALSE),"")</f>
        <v>Piutang Dagang</v>
      </c>
      <c r="F346" s="122">
        <v>175000.0</v>
      </c>
      <c r="G346" s="129"/>
      <c r="H346" s="34"/>
      <c r="I346" s="68">
        <f t="shared" si="1"/>
        <v>41</v>
      </c>
      <c r="J346" s="68" t="str">
        <f t="shared" si="2"/>
        <v>1103-41</v>
      </c>
      <c r="K346" s="71" t="str">
        <f>E347</f>
        <v>Penjualan</v>
      </c>
      <c r="L346" s="34" t="str">
        <f t="shared" si="3"/>
        <v>4101</v>
      </c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5.75" customHeight="1">
      <c r="A347" s="118">
        <v>46247.0</v>
      </c>
      <c r="B347" s="119" t="s">
        <v>401</v>
      </c>
      <c r="C347" s="120" t="s">
        <v>402</v>
      </c>
      <c r="D347" s="121" t="s">
        <v>80</v>
      </c>
      <c r="E347" s="43" t="str">
        <f>IFERROR(VLOOKUP(D347,'Daftar Akun'!A$6:$B$103,2,FALSE),"")</f>
        <v>Penjualan</v>
      </c>
      <c r="F347" s="129"/>
      <c r="G347" s="122">
        <v>175000.0</v>
      </c>
      <c r="H347" s="34"/>
      <c r="I347" s="68">
        <f t="shared" si="1"/>
        <v>41</v>
      </c>
      <c r="J347" s="68" t="str">
        <f t="shared" si="2"/>
        <v>4101-41</v>
      </c>
      <c r="K347" s="71" t="str">
        <f>E346</f>
        <v>Piutang Dagang</v>
      </c>
      <c r="L347" s="34" t="str">
        <f t="shared" si="3"/>
        <v>1103</v>
      </c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5.75" customHeight="1">
      <c r="A348" s="118">
        <v>46247.0</v>
      </c>
      <c r="B348" s="119" t="s">
        <v>406</v>
      </c>
      <c r="C348" s="120" t="s">
        <v>407</v>
      </c>
      <c r="D348" s="121" t="s">
        <v>36</v>
      </c>
      <c r="E348" s="43" t="str">
        <f>IFERROR(VLOOKUP(D348,'Daftar Akun'!A$6:$B$103,2,FALSE),"")</f>
        <v>Piutang Dagang</v>
      </c>
      <c r="F348" s="122">
        <v>375000.0</v>
      </c>
      <c r="G348" s="129"/>
      <c r="H348" s="34"/>
      <c r="I348" s="68">
        <f t="shared" si="1"/>
        <v>42</v>
      </c>
      <c r="J348" s="68" t="str">
        <f t="shared" si="2"/>
        <v>1103-42</v>
      </c>
      <c r="K348" s="71" t="str">
        <f>E349</f>
        <v>Penjualan</v>
      </c>
      <c r="L348" s="34" t="str">
        <f t="shared" si="3"/>
        <v>4101</v>
      </c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5.75" customHeight="1">
      <c r="A349" s="118">
        <v>46247.0</v>
      </c>
      <c r="B349" s="119" t="s">
        <v>406</v>
      </c>
      <c r="C349" s="120" t="s">
        <v>407</v>
      </c>
      <c r="D349" s="121" t="s">
        <v>80</v>
      </c>
      <c r="E349" s="43" t="str">
        <f>IFERROR(VLOOKUP(D349,'Daftar Akun'!A$6:$B$103,2,FALSE),"")</f>
        <v>Penjualan</v>
      </c>
      <c r="F349" s="129"/>
      <c r="G349" s="122">
        <v>375000.0</v>
      </c>
      <c r="H349" s="34"/>
      <c r="I349" s="68">
        <f t="shared" si="1"/>
        <v>42</v>
      </c>
      <c r="J349" s="68" t="str">
        <f t="shared" si="2"/>
        <v>4101-42</v>
      </c>
      <c r="K349" s="71" t="str">
        <f>E348</f>
        <v>Piutang Dagang</v>
      </c>
      <c r="L349" s="34" t="str">
        <f t="shared" si="3"/>
        <v>1103</v>
      </c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5.75" customHeight="1">
      <c r="A350" s="118">
        <v>46247.0</v>
      </c>
      <c r="B350" s="119" t="s">
        <v>409</v>
      </c>
      <c r="C350" s="120" t="s">
        <v>410</v>
      </c>
      <c r="D350" s="121" t="s">
        <v>33</v>
      </c>
      <c r="E350" s="43" t="str">
        <f>IFERROR(VLOOKUP(D350,'Daftar Akun'!A$6:$B$103,2,FALSE),"")</f>
        <v>Bank</v>
      </c>
      <c r="F350" s="122">
        <v>50000.0</v>
      </c>
      <c r="G350" s="129"/>
      <c r="H350" s="34"/>
      <c r="I350" s="68">
        <f t="shared" si="1"/>
        <v>77</v>
      </c>
      <c r="J350" s="68" t="str">
        <f t="shared" si="2"/>
        <v>1102-77</v>
      </c>
      <c r="K350" s="71" t="str">
        <f>E351</f>
        <v>Penjualan</v>
      </c>
      <c r="L350" s="34" t="str">
        <f t="shared" si="3"/>
        <v>4101</v>
      </c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5.75" customHeight="1">
      <c r="A351" s="118">
        <v>46247.0</v>
      </c>
      <c r="B351" s="119" t="s">
        <v>409</v>
      </c>
      <c r="C351" s="120" t="s">
        <v>411</v>
      </c>
      <c r="D351" s="121" t="s">
        <v>80</v>
      </c>
      <c r="E351" s="43" t="str">
        <f>IFERROR(VLOOKUP(D351,'Daftar Akun'!A$6:$B$103,2,FALSE),"")</f>
        <v>Penjualan</v>
      </c>
      <c r="F351" s="129"/>
      <c r="G351" s="122">
        <v>50000.0</v>
      </c>
      <c r="H351" s="34"/>
      <c r="I351" s="68">
        <f t="shared" si="1"/>
        <v>43</v>
      </c>
      <c r="J351" s="68" t="str">
        <f t="shared" si="2"/>
        <v>4101-43</v>
      </c>
      <c r="K351" s="71" t="str">
        <f>E350</f>
        <v>Bank</v>
      </c>
      <c r="L351" s="34" t="str">
        <f t="shared" si="3"/>
        <v>1102</v>
      </c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5.75" customHeight="1">
      <c r="A352" s="118">
        <v>46247.0</v>
      </c>
      <c r="B352" s="131"/>
      <c r="C352" s="120" t="s">
        <v>412</v>
      </c>
      <c r="D352" s="121" t="s">
        <v>33</v>
      </c>
      <c r="E352" s="43" t="str">
        <f>IFERROR(VLOOKUP(D352,'Daftar Akun'!A$6:$B$103,2,FALSE),"")</f>
        <v>Bank</v>
      </c>
      <c r="F352" s="122">
        <v>1561995.0</v>
      </c>
      <c r="G352" s="129"/>
      <c r="H352" s="34"/>
      <c r="I352" s="68">
        <f t="shared" si="1"/>
        <v>78</v>
      </c>
      <c r="J352" s="68" t="str">
        <f t="shared" si="2"/>
        <v>1102-78</v>
      </c>
      <c r="K352" s="71" t="str">
        <f>E353</f>
        <v>Piutang Ongkir</v>
      </c>
      <c r="L352" s="34" t="str">
        <f t="shared" si="3"/>
        <v>1107</v>
      </c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5.75" customHeight="1">
      <c r="A353" s="118">
        <v>46247.0</v>
      </c>
      <c r="B353" s="131"/>
      <c r="C353" s="120" t="s">
        <v>412</v>
      </c>
      <c r="D353" s="121" t="s">
        <v>51</v>
      </c>
      <c r="E353" s="43" t="str">
        <f>IFERROR(VLOOKUP(D353,'Daftar Akun'!A$6:$B$103,2,FALSE),"")</f>
        <v>Piutang Ongkir</v>
      </c>
      <c r="F353" s="129"/>
      <c r="G353" s="122">
        <v>1561995.0</v>
      </c>
      <c r="H353" s="34"/>
      <c r="I353" s="68">
        <f t="shared" si="1"/>
        <v>26</v>
      </c>
      <c r="J353" s="68" t="str">
        <f t="shared" si="2"/>
        <v>1107-26</v>
      </c>
      <c r="K353" s="71" t="str">
        <f>E352</f>
        <v>Bank</v>
      </c>
      <c r="L353" s="34" t="str">
        <f t="shared" si="3"/>
        <v>1102</v>
      </c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5.75" customHeight="1">
      <c r="A354" s="118">
        <v>46247.0</v>
      </c>
      <c r="B354" s="131"/>
      <c r="C354" s="120" t="s">
        <v>415</v>
      </c>
      <c r="D354" s="121" t="s">
        <v>33</v>
      </c>
      <c r="E354" s="43" t="str">
        <f>IFERROR(VLOOKUP(D354,'Daftar Akun'!A$6:$B$103,2,FALSE),"")</f>
        <v>Bank</v>
      </c>
      <c r="F354" s="122">
        <v>2222500.0</v>
      </c>
      <c r="G354" s="129"/>
      <c r="H354" s="34"/>
      <c r="I354" s="68">
        <f t="shared" si="1"/>
        <v>79</v>
      </c>
      <c r="J354" s="68" t="str">
        <f t="shared" si="2"/>
        <v>1102-79</v>
      </c>
      <c r="K354" s="71" t="str">
        <f>E355</f>
        <v>Piutang Dagang</v>
      </c>
      <c r="L354" s="34" t="str">
        <f t="shared" si="3"/>
        <v>1103</v>
      </c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5.75" customHeight="1">
      <c r="A355" s="118">
        <v>46247.0</v>
      </c>
      <c r="B355" s="131"/>
      <c r="C355" s="120" t="s">
        <v>415</v>
      </c>
      <c r="D355" s="121" t="s">
        <v>36</v>
      </c>
      <c r="E355" s="43" t="str">
        <f>IFERROR(VLOOKUP(D355,'Daftar Akun'!A$6:$B$103,2,FALSE),"")</f>
        <v>Piutang Dagang</v>
      </c>
      <c r="F355" s="129"/>
      <c r="G355" s="122">
        <v>2222500.0</v>
      </c>
      <c r="H355" s="34"/>
      <c r="I355" s="68">
        <f t="shared" si="1"/>
        <v>43</v>
      </c>
      <c r="J355" s="68" t="str">
        <f t="shared" si="2"/>
        <v>1103-43</v>
      </c>
      <c r="K355" s="71" t="str">
        <f>E354</f>
        <v>Bank</v>
      </c>
      <c r="L355" s="34" t="str">
        <f t="shared" si="3"/>
        <v>1102</v>
      </c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5.75" customHeight="1">
      <c r="A356" s="118">
        <v>46248.0</v>
      </c>
      <c r="B356" s="119" t="s">
        <v>419</v>
      </c>
      <c r="C356" s="120" t="s">
        <v>320</v>
      </c>
      <c r="D356" s="121" t="s">
        <v>93</v>
      </c>
      <c r="E356" s="43" t="str">
        <f>IFERROR(VLOOKUP(D356,'Daftar Akun'!A$6:$B$103,2,FALSE),"")</f>
        <v>Pembelian Bunga</v>
      </c>
      <c r="F356" s="122">
        <v>50000.0</v>
      </c>
      <c r="G356" s="129"/>
      <c r="H356" s="34"/>
      <c r="I356" s="68">
        <f t="shared" si="1"/>
        <v>61</v>
      </c>
      <c r="J356" s="68" t="str">
        <f t="shared" si="2"/>
        <v>5101-61</v>
      </c>
      <c r="K356" s="71" t="str">
        <f>E357</f>
        <v>Kas</v>
      </c>
      <c r="L356" s="34" t="str">
        <f t="shared" si="3"/>
        <v>1101</v>
      </c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5.75" customHeight="1">
      <c r="A357" s="118">
        <v>46248.0</v>
      </c>
      <c r="B357" s="119" t="s">
        <v>419</v>
      </c>
      <c r="C357" s="120" t="s">
        <v>320</v>
      </c>
      <c r="D357" s="121" t="s">
        <v>18</v>
      </c>
      <c r="E357" s="43" t="str">
        <f>IFERROR(VLOOKUP(D357,'Daftar Akun'!A$6:$B$103,2,FALSE),"")</f>
        <v>Kas</v>
      </c>
      <c r="F357" s="129"/>
      <c r="G357" s="122">
        <v>50000.0</v>
      </c>
      <c r="H357" s="34"/>
      <c r="I357" s="68">
        <f t="shared" si="1"/>
        <v>57</v>
      </c>
      <c r="J357" s="68" t="str">
        <f t="shared" si="2"/>
        <v>1101-57</v>
      </c>
      <c r="K357" s="71" t="str">
        <f>E356</f>
        <v>Pembelian Bunga</v>
      </c>
      <c r="L357" s="34" t="str">
        <f t="shared" si="3"/>
        <v>5101</v>
      </c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5.75" customHeight="1">
      <c r="A358" s="118">
        <v>46248.0</v>
      </c>
      <c r="B358" s="119" t="s">
        <v>421</v>
      </c>
      <c r="C358" s="120" t="s">
        <v>422</v>
      </c>
      <c r="D358" s="121" t="s">
        <v>93</v>
      </c>
      <c r="E358" s="43" t="str">
        <f>IFERROR(VLOOKUP(D358,'Daftar Akun'!A$6:$B$103,2,FALSE),"")</f>
        <v>Pembelian Bunga</v>
      </c>
      <c r="F358" s="122">
        <v>440000.0</v>
      </c>
      <c r="G358" s="129"/>
      <c r="H358" s="34"/>
      <c r="I358" s="68">
        <f t="shared" si="1"/>
        <v>62</v>
      </c>
      <c r="J358" s="68" t="str">
        <f t="shared" si="2"/>
        <v>5101-62</v>
      </c>
      <c r="K358" s="71" t="str">
        <f>E359</f>
        <v>Bank</v>
      </c>
      <c r="L358" s="34" t="str">
        <f t="shared" si="3"/>
        <v>1102</v>
      </c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5.75" customHeight="1">
      <c r="A359" s="118">
        <v>46248.0</v>
      </c>
      <c r="B359" s="119" t="s">
        <v>421</v>
      </c>
      <c r="C359" s="120" t="s">
        <v>422</v>
      </c>
      <c r="D359" s="121" t="s">
        <v>33</v>
      </c>
      <c r="E359" s="43" t="str">
        <f>IFERROR(VLOOKUP(D359,'Daftar Akun'!A$6:$B$103,2,FALSE),"")</f>
        <v>Bank</v>
      </c>
      <c r="F359" s="129"/>
      <c r="G359" s="122">
        <v>440000.0</v>
      </c>
      <c r="H359" s="34"/>
      <c r="I359" s="68">
        <f t="shared" si="1"/>
        <v>80</v>
      </c>
      <c r="J359" s="68" t="str">
        <f t="shared" si="2"/>
        <v>1102-80</v>
      </c>
      <c r="K359" s="71" t="str">
        <f>E358</f>
        <v>Pembelian Bunga</v>
      </c>
      <c r="L359" s="34" t="str">
        <f t="shared" si="3"/>
        <v>5101</v>
      </c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5.75" customHeight="1">
      <c r="A360" s="118">
        <v>46248.0</v>
      </c>
      <c r="B360" s="119" t="s">
        <v>426</v>
      </c>
      <c r="C360" s="120" t="s">
        <v>249</v>
      </c>
      <c r="D360" s="121" t="s">
        <v>93</v>
      </c>
      <c r="E360" s="43" t="str">
        <f>IFERROR(VLOOKUP(D360,'Daftar Akun'!A$6:$B$103,2,FALSE),"")</f>
        <v>Pembelian Bunga</v>
      </c>
      <c r="F360" s="122">
        <v>181000.0</v>
      </c>
      <c r="G360" s="129"/>
      <c r="H360" s="34"/>
      <c r="I360" s="68">
        <f t="shared" si="1"/>
        <v>63</v>
      </c>
      <c r="J360" s="68" t="str">
        <f t="shared" si="2"/>
        <v>5101-63</v>
      </c>
      <c r="K360" s="71" t="str">
        <f>E361</f>
        <v>Kas</v>
      </c>
      <c r="L360" s="34" t="str">
        <f t="shared" si="3"/>
        <v>1101</v>
      </c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5.75" customHeight="1">
      <c r="A361" s="118">
        <v>46248.0</v>
      </c>
      <c r="B361" s="119" t="s">
        <v>426</v>
      </c>
      <c r="C361" s="120" t="s">
        <v>249</v>
      </c>
      <c r="D361" s="121" t="s">
        <v>18</v>
      </c>
      <c r="E361" s="43" t="str">
        <f>IFERROR(VLOOKUP(D361,'Daftar Akun'!A$6:$B$103,2,FALSE),"")</f>
        <v>Kas</v>
      </c>
      <c r="F361" s="129"/>
      <c r="G361" s="122">
        <v>181000.0</v>
      </c>
      <c r="H361" s="34"/>
      <c r="I361" s="68">
        <f t="shared" si="1"/>
        <v>58</v>
      </c>
      <c r="J361" s="68" t="str">
        <f t="shared" si="2"/>
        <v>1101-58</v>
      </c>
      <c r="K361" s="71" t="str">
        <f>E360</f>
        <v>Pembelian Bunga</v>
      </c>
      <c r="L361" s="34" t="str">
        <f t="shared" si="3"/>
        <v>5101</v>
      </c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5.75" customHeight="1">
      <c r="A362" s="118">
        <v>46248.0</v>
      </c>
      <c r="B362" s="131"/>
      <c r="C362" s="120" t="s">
        <v>429</v>
      </c>
      <c r="D362" s="121" t="s">
        <v>121</v>
      </c>
      <c r="E362" s="43" t="str">
        <f>IFERROR(VLOOKUP(D362,'Daftar Akun'!A$6:$B$103,2,FALSE),"")</f>
        <v>Beban Lain-Lain</v>
      </c>
      <c r="F362" s="122">
        <v>8300.0</v>
      </c>
      <c r="G362" s="129"/>
      <c r="H362" s="34"/>
      <c r="I362" s="68">
        <f t="shared" si="1"/>
        <v>10</v>
      </c>
      <c r="J362" s="68" t="str">
        <f t="shared" si="2"/>
        <v>6108-10</v>
      </c>
      <c r="K362" s="71" t="str">
        <f>E363</f>
        <v>Kas</v>
      </c>
      <c r="L362" s="34" t="str">
        <f t="shared" si="3"/>
        <v>1101</v>
      </c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5.75" customHeight="1">
      <c r="A363" s="118">
        <v>46248.0</v>
      </c>
      <c r="B363" s="131"/>
      <c r="C363" s="120" t="s">
        <v>429</v>
      </c>
      <c r="D363" s="121" t="s">
        <v>18</v>
      </c>
      <c r="E363" s="43" t="str">
        <f>IFERROR(VLOOKUP(D363,'Daftar Akun'!A$6:$B$103,2,FALSE),"")</f>
        <v>Kas</v>
      </c>
      <c r="F363" s="129"/>
      <c r="G363" s="122">
        <v>8300.0</v>
      </c>
      <c r="H363" s="34"/>
      <c r="I363" s="68">
        <f t="shared" si="1"/>
        <v>59</v>
      </c>
      <c r="J363" s="68" t="str">
        <f t="shared" si="2"/>
        <v>1101-59</v>
      </c>
      <c r="K363" s="71" t="str">
        <f>E362</f>
        <v>Beban Lain-Lain</v>
      </c>
      <c r="L363" s="34" t="str">
        <f t="shared" si="3"/>
        <v>6108</v>
      </c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5.75" customHeight="1">
      <c r="A364" s="118">
        <v>46248.0</v>
      </c>
      <c r="B364" s="119" t="s">
        <v>433</v>
      </c>
      <c r="C364" s="120" t="s">
        <v>434</v>
      </c>
      <c r="D364" s="121" t="s">
        <v>121</v>
      </c>
      <c r="E364" s="43" t="str">
        <f>IFERROR(VLOOKUP(D364,'Daftar Akun'!A$6:$B$103,2,FALSE),"")</f>
        <v>Beban Lain-Lain</v>
      </c>
      <c r="F364" s="122">
        <v>55000.0</v>
      </c>
      <c r="G364" s="129"/>
      <c r="H364" s="34"/>
      <c r="I364" s="68">
        <f t="shared" si="1"/>
        <v>11</v>
      </c>
      <c r="J364" s="68" t="str">
        <f t="shared" si="2"/>
        <v>6108-11</v>
      </c>
      <c r="K364" s="71" t="str">
        <f>E365</f>
        <v>Kas</v>
      </c>
      <c r="L364" s="34" t="str">
        <f t="shared" si="3"/>
        <v>1101</v>
      </c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5.75" customHeight="1">
      <c r="A365" s="118">
        <v>46248.0</v>
      </c>
      <c r="B365" s="119" t="s">
        <v>433</v>
      </c>
      <c r="C365" s="120" t="s">
        <v>434</v>
      </c>
      <c r="D365" s="121" t="s">
        <v>18</v>
      </c>
      <c r="E365" s="43" t="str">
        <f>IFERROR(VLOOKUP(D365,'Daftar Akun'!A$6:$B$103,2,FALSE),"")</f>
        <v>Kas</v>
      </c>
      <c r="F365" s="129"/>
      <c r="G365" s="122">
        <v>55000.0</v>
      </c>
      <c r="H365" s="34"/>
      <c r="I365" s="68">
        <f t="shared" si="1"/>
        <v>60</v>
      </c>
      <c r="J365" s="68" t="str">
        <f t="shared" si="2"/>
        <v>1101-60</v>
      </c>
      <c r="K365" s="71" t="str">
        <f>E364</f>
        <v>Beban Lain-Lain</v>
      </c>
      <c r="L365" s="34" t="str">
        <f t="shared" si="3"/>
        <v>6108</v>
      </c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5.75" customHeight="1">
      <c r="A366" s="118">
        <v>46248.0</v>
      </c>
      <c r="B366" s="119" t="s">
        <v>435</v>
      </c>
      <c r="C366" s="120" t="s">
        <v>436</v>
      </c>
      <c r="D366" s="121" t="s">
        <v>121</v>
      </c>
      <c r="E366" s="43" t="str">
        <f>IFERROR(VLOOKUP(D366,'Daftar Akun'!A$6:$B$103,2,FALSE),"")</f>
        <v>Beban Lain-Lain</v>
      </c>
      <c r="F366" s="122">
        <v>106500.0</v>
      </c>
      <c r="G366" s="129"/>
      <c r="H366" s="34"/>
      <c r="I366" s="68">
        <f t="shared" si="1"/>
        <v>12</v>
      </c>
      <c r="J366" s="68" t="str">
        <f t="shared" si="2"/>
        <v>6108-12</v>
      </c>
      <c r="K366" s="71" t="str">
        <f>E367</f>
        <v>Kas</v>
      </c>
      <c r="L366" s="34" t="str">
        <f t="shared" si="3"/>
        <v>1101</v>
      </c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5.75" customHeight="1">
      <c r="A367" s="118">
        <v>46248.0</v>
      </c>
      <c r="B367" s="119" t="s">
        <v>435</v>
      </c>
      <c r="C367" s="120" t="s">
        <v>436</v>
      </c>
      <c r="D367" s="121" t="s">
        <v>18</v>
      </c>
      <c r="E367" s="43" t="str">
        <f>IFERROR(VLOOKUP(D367,'Daftar Akun'!A$6:$B$103,2,FALSE),"")</f>
        <v>Kas</v>
      </c>
      <c r="F367" s="129"/>
      <c r="G367" s="122">
        <v>106500.0</v>
      </c>
      <c r="H367" s="34"/>
      <c r="I367" s="68">
        <f t="shared" si="1"/>
        <v>61</v>
      </c>
      <c r="J367" s="68" t="str">
        <f t="shared" si="2"/>
        <v>1101-61</v>
      </c>
      <c r="K367" s="71" t="str">
        <f>E366</f>
        <v>Beban Lain-Lain</v>
      </c>
      <c r="L367" s="34" t="str">
        <f t="shared" si="3"/>
        <v>6108</v>
      </c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5.75" customHeight="1">
      <c r="A368" s="118">
        <v>46248.0</v>
      </c>
      <c r="B368" s="119" t="s">
        <v>437</v>
      </c>
      <c r="C368" s="120" t="s">
        <v>438</v>
      </c>
      <c r="D368" s="121" t="s">
        <v>93</v>
      </c>
      <c r="E368" s="43" t="str">
        <f>IFERROR(VLOOKUP(D368,'Daftar Akun'!A$6:$B$103,2,FALSE),"")</f>
        <v>Pembelian Bunga</v>
      </c>
      <c r="F368" s="122">
        <v>60000.0</v>
      </c>
      <c r="G368" s="129"/>
      <c r="H368" s="34"/>
      <c r="I368" s="68">
        <f t="shared" si="1"/>
        <v>64</v>
      </c>
      <c r="J368" s="68" t="str">
        <f t="shared" si="2"/>
        <v>5101-64</v>
      </c>
      <c r="K368" s="71" t="str">
        <f>E369</f>
        <v>Kas</v>
      </c>
      <c r="L368" s="34" t="str">
        <f t="shared" si="3"/>
        <v>1101</v>
      </c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5.75" customHeight="1">
      <c r="A369" s="118">
        <v>46248.0</v>
      </c>
      <c r="B369" s="119" t="s">
        <v>437</v>
      </c>
      <c r="C369" s="120" t="s">
        <v>438</v>
      </c>
      <c r="D369" s="121" t="s">
        <v>18</v>
      </c>
      <c r="E369" s="43" t="str">
        <f>IFERROR(VLOOKUP(D369,'Daftar Akun'!A$6:$B$103,2,FALSE),"")</f>
        <v>Kas</v>
      </c>
      <c r="F369" s="129"/>
      <c r="G369" s="122">
        <v>60000.0</v>
      </c>
      <c r="H369" s="34"/>
      <c r="I369" s="68">
        <f t="shared" si="1"/>
        <v>62</v>
      </c>
      <c r="J369" s="68" t="str">
        <f t="shared" si="2"/>
        <v>1101-62</v>
      </c>
      <c r="K369" s="71" t="str">
        <f>E368</f>
        <v>Pembelian Bunga</v>
      </c>
      <c r="L369" s="34" t="str">
        <f t="shared" si="3"/>
        <v>5101</v>
      </c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5.75" customHeight="1">
      <c r="A370" s="118">
        <v>46248.0</v>
      </c>
      <c r="B370" s="119" t="s">
        <v>439</v>
      </c>
      <c r="C370" s="120" t="s">
        <v>314</v>
      </c>
      <c r="D370" s="121" t="s">
        <v>18</v>
      </c>
      <c r="E370" s="43" t="str">
        <f>IFERROR(VLOOKUP(D370,'Daftar Akun'!A$6:$B$103,2,FALSE),"")</f>
        <v>Kas</v>
      </c>
      <c r="F370" s="122">
        <v>278000.0</v>
      </c>
      <c r="G370" s="129"/>
      <c r="H370" s="34"/>
      <c r="I370" s="68">
        <f t="shared" si="1"/>
        <v>63</v>
      </c>
      <c r="J370" s="68" t="str">
        <f t="shared" si="2"/>
        <v>1101-63</v>
      </c>
      <c r="K370" s="71" t="str">
        <f>E371</f>
        <v>Penjualan</v>
      </c>
      <c r="L370" s="34" t="str">
        <f t="shared" si="3"/>
        <v>4101</v>
      </c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5.75" customHeight="1">
      <c r="A371" s="118">
        <v>46248.0</v>
      </c>
      <c r="B371" s="119" t="s">
        <v>439</v>
      </c>
      <c r="C371" s="120" t="s">
        <v>314</v>
      </c>
      <c r="D371" s="121" t="s">
        <v>80</v>
      </c>
      <c r="E371" s="43" t="str">
        <f>IFERROR(VLOOKUP(D371,'Daftar Akun'!A$6:$B$103,2,FALSE),"")</f>
        <v>Penjualan</v>
      </c>
      <c r="F371" s="129"/>
      <c r="G371" s="122">
        <v>278000.0</v>
      </c>
      <c r="H371" s="34"/>
      <c r="I371" s="68">
        <f t="shared" si="1"/>
        <v>44</v>
      </c>
      <c r="J371" s="68" t="str">
        <f t="shared" si="2"/>
        <v>4101-44</v>
      </c>
      <c r="K371" s="71" t="str">
        <f>E370</f>
        <v>Kas</v>
      </c>
      <c r="L371" s="34" t="str">
        <f t="shared" si="3"/>
        <v>1101</v>
      </c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5.75" customHeight="1">
      <c r="A372" s="118">
        <v>46248.0</v>
      </c>
      <c r="B372" s="131"/>
      <c r="C372" s="120" t="s">
        <v>440</v>
      </c>
      <c r="D372" s="121" t="s">
        <v>100</v>
      </c>
      <c r="E372" s="43" t="str">
        <f>IFERROR(VLOOKUP(D372,'Daftar Akun'!A$6:$B$103,2,FALSE),"")</f>
        <v>Beban Angkut Pembelian</v>
      </c>
      <c r="F372" s="122">
        <v>55000.0</v>
      </c>
      <c r="G372" s="129"/>
      <c r="H372" s="34"/>
      <c r="I372" s="68">
        <f t="shared" si="1"/>
        <v>4</v>
      </c>
      <c r="J372" s="68" t="str">
        <f t="shared" si="2"/>
        <v>5103-4</v>
      </c>
      <c r="K372" s="71" t="str">
        <f>E373</f>
        <v>Kas</v>
      </c>
      <c r="L372" s="34" t="str">
        <f t="shared" si="3"/>
        <v>1101</v>
      </c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5.75" customHeight="1">
      <c r="A373" s="118">
        <v>46248.0</v>
      </c>
      <c r="B373" s="131"/>
      <c r="C373" s="120" t="s">
        <v>440</v>
      </c>
      <c r="D373" s="121" t="s">
        <v>18</v>
      </c>
      <c r="E373" s="43" t="str">
        <f>IFERROR(VLOOKUP(D373,'Daftar Akun'!A$6:$B$103,2,FALSE),"")</f>
        <v>Kas</v>
      </c>
      <c r="F373" s="129"/>
      <c r="G373" s="122">
        <v>55000.0</v>
      </c>
      <c r="H373" s="34"/>
      <c r="I373" s="68">
        <f t="shared" si="1"/>
        <v>64</v>
      </c>
      <c r="J373" s="68" t="str">
        <f t="shared" si="2"/>
        <v>1101-64</v>
      </c>
      <c r="K373" s="71" t="str">
        <f>E372</f>
        <v>Beban Angkut Pembelian</v>
      </c>
      <c r="L373" s="34" t="str">
        <f t="shared" si="3"/>
        <v>5103</v>
      </c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5.75" customHeight="1">
      <c r="A374" s="118">
        <v>46248.0</v>
      </c>
      <c r="B374" s="119" t="s">
        <v>441</v>
      </c>
      <c r="C374" s="120" t="s">
        <v>442</v>
      </c>
      <c r="D374" s="121" t="s">
        <v>36</v>
      </c>
      <c r="E374" s="43" t="str">
        <f>IFERROR(VLOOKUP(D374,'Daftar Akun'!A$6:$B$103,2,FALSE),"")</f>
        <v>Piutang Dagang</v>
      </c>
      <c r="F374" s="122">
        <v>2390000.0</v>
      </c>
      <c r="G374" s="129"/>
      <c r="H374" s="34"/>
      <c r="I374" s="68">
        <f t="shared" si="1"/>
        <v>44</v>
      </c>
      <c r="J374" s="68" t="str">
        <f t="shared" si="2"/>
        <v>1103-44</v>
      </c>
      <c r="K374" s="71" t="str">
        <f>E375</f>
        <v>Penjualan</v>
      </c>
      <c r="L374" s="34" t="str">
        <f t="shared" si="3"/>
        <v>4101</v>
      </c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5.75" customHeight="1">
      <c r="A375" s="118">
        <v>46248.0</v>
      </c>
      <c r="B375" s="119" t="s">
        <v>441</v>
      </c>
      <c r="C375" s="120" t="s">
        <v>442</v>
      </c>
      <c r="D375" s="121" t="s">
        <v>80</v>
      </c>
      <c r="E375" s="43" t="str">
        <f>IFERROR(VLOOKUP(D375,'Daftar Akun'!A$6:$B$103,2,FALSE),"")</f>
        <v>Penjualan</v>
      </c>
      <c r="F375" s="129"/>
      <c r="G375" s="122">
        <v>2390000.0</v>
      </c>
      <c r="H375" s="34"/>
      <c r="I375" s="68">
        <f t="shared" si="1"/>
        <v>45</v>
      </c>
      <c r="J375" s="68" t="str">
        <f t="shared" si="2"/>
        <v>4101-45</v>
      </c>
      <c r="K375" s="71" t="str">
        <f>E374</f>
        <v>Piutang Dagang</v>
      </c>
      <c r="L375" s="34" t="str">
        <f t="shared" si="3"/>
        <v>1103</v>
      </c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5.75" customHeight="1">
      <c r="A376" s="118">
        <v>46248.0</v>
      </c>
      <c r="B376" s="119" t="s">
        <v>443</v>
      </c>
      <c r="C376" s="120" t="s">
        <v>444</v>
      </c>
      <c r="D376" s="121" t="s">
        <v>36</v>
      </c>
      <c r="E376" s="43" t="str">
        <f>IFERROR(VLOOKUP(D376,'Daftar Akun'!A$6:$B$103,2,FALSE),"")</f>
        <v>Piutang Dagang</v>
      </c>
      <c r="F376" s="122">
        <v>675000.0</v>
      </c>
      <c r="G376" s="129"/>
      <c r="H376" s="34"/>
      <c r="I376" s="68">
        <f t="shared" si="1"/>
        <v>45</v>
      </c>
      <c r="J376" s="68" t="str">
        <f t="shared" si="2"/>
        <v>1103-45</v>
      </c>
      <c r="K376" s="71" t="str">
        <f>E377</f>
        <v>Penjualan</v>
      </c>
      <c r="L376" s="34" t="str">
        <f t="shared" si="3"/>
        <v>4101</v>
      </c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5.75" customHeight="1">
      <c r="A377" s="118">
        <v>46248.0</v>
      </c>
      <c r="B377" s="119" t="s">
        <v>443</v>
      </c>
      <c r="C377" s="120" t="s">
        <v>444</v>
      </c>
      <c r="D377" s="121" t="s">
        <v>80</v>
      </c>
      <c r="E377" s="43" t="str">
        <f>IFERROR(VLOOKUP(D377,'Daftar Akun'!A$6:$B$103,2,FALSE),"")</f>
        <v>Penjualan</v>
      </c>
      <c r="F377" s="129"/>
      <c r="G377" s="122">
        <v>675000.0</v>
      </c>
      <c r="H377" s="34"/>
      <c r="I377" s="68">
        <f t="shared" si="1"/>
        <v>46</v>
      </c>
      <c r="J377" s="68" t="str">
        <f t="shared" si="2"/>
        <v>4101-46</v>
      </c>
      <c r="K377" s="71" t="str">
        <f>E376</f>
        <v>Piutang Dagang</v>
      </c>
      <c r="L377" s="34" t="str">
        <f t="shared" si="3"/>
        <v>1103</v>
      </c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5.75" customHeight="1">
      <c r="A378" s="118">
        <v>46248.0</v>
      </c>
      <c r="B378" s="119" t="s">
        <v>445</v>
      </c>
      <c r="C378" s="120" t="s">
        <v>446</v>
      </c>
      <c r="D378" s="121" t="s">
        <v>36</v>
      </c>
      <c r="E378" s="43" t="str">
        <f>IFERROR(VLOOKUP(D378,'Daftar Akun'!A$6:$B$103,2,FALSE),"")</f>
        <v>Piutang Dagang</v>
      </c>
      <c r="F378" s="122">
        <v>1713000.0</v>
      </c>
      <c r="G378" s="129"/>
      <c r="H378" s="34"/>
      <c r="I378" s="68">
        <f t="shared" si="1"/>
        <v>46</v>
      </c>
      <c r="J378" s="68" t="str">
        <f t="shared" si="2"/>
        <v>1103-46</v>
      </c>
      <c r="K378" s="71" t="str">
        <f>E379</f>
        <v>Penjualan</v>
      </c>
      <c r="L378" s="34" t="str">
        <f t="shared" si="3"/>
        <v>4101</v>
      </c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5.75" customHeight="1">
      <c r="A379" s="118">
        <v>46248.0</v>
      </c>
      <c r="B379" s="119" t="s">
        <v>445</v>
      </c>
      <c r="C379" s="120" t="s">
        <v>446</v>
      </c>
      <c r="D379" s="121" t="s">
        <v>80</v>
      </c>
      <c r="E379" s="43" t="str">
        <f>IFERROR(VLOOKUP(D379,'Daftar Akun'!A$6:$B$103,2,FALSE),"")</f>
        <v>Penjualan</v>
      </c>
      <c r="F379" s="129"/>
      <c r="G379" s="122">
        <v>1713000.0</v>
      </c>
      <c r="H379" s="34"/>
      <c r="I379" s="68">
        <f t="shared" si="1"/>
        <v>47</v>
      </c>
      <c r="J379" s="68" t="str">
        <f t="shared" si="2"/>
        <v>4101-47</v>
      </c>
      <c r="K379" s="71" t="str">
        <f>E378</f>
        <v>Piutang Dagang</v>
      </c>
      <c r="L379" s="34" t="str">
        <f t="shared" si="3"/>
        <v>1103</v>
      </c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5.75" customHeight="1">
      <c r="A380" s="118">
        <v>46248.0</v>
      </c>
      <c r="B380" s="119" t="s">
        <v>447</v>
      </c>
      <c r="C380" s="120" t="s">
        <v>448</v>
      </c>
      <c r="D380" s="121" t="s">
        <v>36</v>
      </c>
      <c r="E380" s="43" t="str">
        <f>IFERROR(VLOOKUP(D380,'Daftar Akun'!A$6:$B$103,2,FALSE),"")</f>
        <v>Piutang Dagang</v>
      </c>
      <c r="F380" s="122">
        <v>270000.0</v>
      </c>
      <c r="G380" s="129"/>
      <c r="H380" s="34"/>
      <c r="I380" s="68">
        <f t="shared" si="1"/>
        <v>47</v>
      </c>
      <c r="J380" s="68" t="str">
        <f t="shared" si="2"/>
        <v>1103-47</v>
      </c>
      <c r="K380" s="71" t="str">
        <f>E381</f>
        <v>Penjualan</v>
      </c>
      <c r="L380" s="34" t="str">
        <f t="shared" si="3"/>
        <v>4101</v>
      </c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5.75" customHeight="1">
      <c r="A381" s="118">
        <v>46248.0</v>
      </c>
      <c r="B381" s="119" t="s">
        <v>447</v>
      </c>
      <c r="C381" s="120" t="s">
        <v>448</v>
      </c>
      <c r="D381" s="121" t="s">
        <v>80</v>
      </c>
      <c r="E381" s="43" t="str">
        <f>IFERROR(VLOOKUP(D381,'Daftar Akun'!A$6:$B$103,2,FALSE),"")</f>
        <v>Penjualan</v>
      </c>
      <c r="F381" s="129"/>
      <c r="G381" s="122">
        <v>270000.0</v>
      </c>
      <c r="H381" s="34"/>
      <c r="I381" s="68">
        <f t="shared" si="1"/>
        <v>48</v>
      </c>
      <c r="J381" s="68" t="str">
        <f t="shared" si="2"/>
        <v>4101-48</v>
      </c>
      <c r="K381" s="71" t="str">
        <f>E380</f>
        <v>Piutang Dagang</v>
      </c>
      <c r="L381" s="34" t="str">
        <f t="shared" si="3"/>
        <v>1103</v>
      </c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5.75" customHeight="1">
      <c r="A382" s="118">
        <v>46248.0</v>
      </c>
      <c r="B382" s="119" t="s">
        <v>439</v>
      </c>
      <c r="C382" s="120" t="s">
        <v>449</v>
      </c>
      <c r="D382" s="121" t="s">
        <v>93</v>
      </c>
      <c r="E382" s="43" t="str">
        <f>IFERROR(VLOOKUP(D382,'Daftar Akun'!A$6:$B$103,2,FALSE),"")</f>
        <v>Pembelian Bunga</v>
      </c>
      <c r="F382" s="122">
        <v>255000.0</v>
      </c>
      <c r="G382" s="129"/>
      <c r="H382" s="34"/>
      <c r="I382" s="68">
        <f t="shared" si="1"/>
        <v>65</v>
      </c>
      <c r="J382" s="68" t="str">
        <f t="shared" si="2"/>
        <v>5101-65</v>
      </c>
      <c r="K382" s="71" t="str">
        <f>E383</f>
        <v>Hutang Dagang</v>
      </c>
      <c r="L382" s="34" t="str">
        <f t="shared" si="3"/>
        <v>2101</v>
      </c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5.75" customHeight="1">
      <c r="A383" s="118">
        <v>46248.0</v>
      </c>
      <c r="B383" s="119" t="s">
        <v>439</v>
      </c>
      <c r="C383" s="120" t="s">
        <v>449</v>
      </c>
      <c r="D383" s="121" t="s">
        <v>67</v>
      </c>
      <c r="E383" s="43" t="str">
        <f>IFERROR(VLOOKUP(D383,'Daftar Akun'!A$6:$B$103,2,FALSE),"")</f>
        <v>Hutang Dagang</v>
      </c>
      <c r="F383" s="129"/>
      <c r="G383" s="122">
        <v>255000.0</v>
      </c>
      <c r="H383" s="34"/>
      <c r="I383" s="68">
        <f t="shared" si="1"/>
        <v>13</v>
      </c>
      <c r="J383" s="68" t="str">
        <f t="shared" si="2"/>
        <v>2101-13</v>
      </c>
      <c r="K383" s="71" t="str">
        <f>E382</f>
        <v>Pembelian Bunga</v>
      </c>
      <c r="L383" s="34" t="str">
        <f t="shared" si="3"/>
        <v>5101</v>
      </c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5.75" customHeight="1">
      <c r="A384" s="118">
        <v>46248.0</v>
      </c>
      <c r="B384" s="119" t="s">
        <v>450</v>
      </c>
      <c r="C384" s="120" t="s">
        <v>451</v>
      </c>
      <c r="D384" s="121" t="s">
        <v>36</v>
      </c>
      <c r="E384" s="43" t="str">
        <f>IFERROR(VLOOKUP(D384,'Daftar Akun'!A$6:$B$103,2,FALSE),"")</f>
        <v>Piutang Dagang</v>
      </c>
      <c r="F384" s="122">
        <v>765000.0</v>
      </c>
      <c r="G384" s="129"/>
      <c r="H384" s="34"/>
      <c r="I384" s="68">
        <f t="shared" si="1"/>
        <v>48</v>
      </c>
      <c r="J384" s="68" t="str">
        <f t="shared" si="2"/>
        <v>1103-48</v>
      </c>
      <c r="K384" s="71" t="str">
        <f>E385</f>
        <v>Penjualan</v>
      </c>
      <c r="L384" s="34" t="str">
        <f t="shared" si="3"/>
        <v>4101</v>
      </c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5.75" customHeight="1">
      <c r="A385" s="118">
        <v>46248.0</v>
      </c>
      <c r="B385" s="119" t="s">
        <v>450</v>
      </c>
      <c r="C385" s="120" t="s">
        <v>451</v>
      </c>
      <c r="D385" s="121" t="s">
        <v>80</v>
      </c>
      <c r="E385" s="43" t="str">
        <f>IFERROR(VLOOKUP(D385,'Daftar Akun'!A$6:$B$103,2,FALSE),"")</f>
        <v>Penjualan</v>
      </c>
      <c r="F385" s="129"/>
      <c r="G385" s="122">
        <v>765000.0</v>
      </c>
      <c r="H385" s="34"/>
      <c r="I385" s="68">
        <f t="shared" si="1"/>
        <v>49</v>
      </c>
      <c r="J385" s="68" t="str">
        <f t="shared" si="2"/>
        <v>4101-49</v>
      </c>
      <c r="K385" s="71" t="str">
        <f>E384</f>
        <v>Piutang Dagang</v>
      </c>
      <c r="L385" s="34" t="str">
        <f t="shared" si="3"/>
        <v>1103</v>
      </c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5.75" customHeight="1">
      <c r="A386" s="118">
        <v>46248.0</v>
      </c>
      <c r="B386" s="131"/>
      <c r="C386" s="120" t="s">
        <v>452</v>
      </c>
      <c r="D386" s="121" t="s">
        <v>33</v>
      </c>
      <c r="E386" s="43" t="str">
        <f>IFERROR(VLOOKUP(D386,'Daftar Akun'!A$6:$B$103,2,FALSE),"")</f>
        <v>Bank</v>
      </c>
      <c r="F386" s="122">
        <v>550000.0</v>
      </c>
      <c r="G386" s="129"/>
      <c r="H386" s="34"/>
      <c r="I386" s="68">
        <f t="shared" si="1"/>
        <v>81</v>
      </c>
      <c r="J386" s="68" t="str">
        <f t="shared" si="2"/>
        <v>1102-81</v>
      </c>
      <c r="K386" s="71" t="str">
        <f>E387</f>
        <v>Piutang Dagang</v>
      </c>
      <c r="L386" s="34" t="str">
        <f t="shared" si="3"/>
        <v>1103</v>
      </c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5.75" customHeight="1">
      <c r="A387" s="118">
        <v>46248.0</v>
      </c>
      <c r="B387" s="131"/>
      <c r="C387" s="120" t="s">
        <v>452</v>
      </c>
      <c r="D387" s="121" t="s">
        <v>36</v>
      </c>
      <c r="E387" s="43" t="str">
        <f>IFERROR(VLOOKUP(D387,'Daftar Akun'!A$6:$B$103,2,FALSE),"")</f>
        <v>Piutang Dagang</v>
      </c>
      <c r="F387" s="129"/>
      <c r="G387" s="122">
        <v>550000.0</v>
      </c>
      <c r="H387" s="34"/>
      <c r="I387" s="68">
        <f t="shared" si="1"/>
        <v>49</v>
      </c>
      <c r="J387" s="68" t="str">
        <f t="shared" si="2"/>
        <v>1103-49</v>
      </c>
      <c r="K387" s="71" t="str">
        <f>E386</f>
        <v>Bank</v>
      </c>
      <c r="L387" s="34" t="str">
        <f t="shared" si="3"/>
        <v>1102</v>
      </c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5.75" customHeight="1">
      <c r="A388" s="118">
        <v>46248.0</v>
      </c>
      <c r="B388" s="131"/>
      <c r="C388" s="120" t="s">
        <v>453</v>
      </c>
      <c r="D388" s="121" t="s">
        <v>33</v>
      </c>
      <c r="E388" s="43" t="str">
        <f>IFERROR(VLOOKUP(D388,'Daftar Akun'!A$6:$B$103,2,FALSE),"")</f>
        <v>Bank</v>
      </c>
      <c r="F388" s="122">
        <v>130000.0</v>
      </c>
      <c r="G388" s="129"/>
      <c r="H388" s="34"/>
      <c r="I388" s="68">
        <f t="shared" si="1"/>
        <v>82</v>
      </c>
      <c r="J388" s="68" t="str">
        <f t="shared" si="2"/>
        <v>1102-82</v>
      </c>
      <c r="K388" s="71" t="str">
        <f>E389</f>
        <v>Piutang Ongkir</v>
      </c>
      <c r="L388" s="34" t="str">
        <f t="shared" si="3"/>
        <v>1107</v>
      </c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5.75" customHeight="1">
      <c r="A389" s="118">
        <v>46248.0</v>
      </c>
      <c r="B389" s="131"/>
      <c r="C389" s="120" t="s">
        <v>453</v>
      </c>
      <c r="D389" s="121" t="s">
        <v>51</v>
      </c>
      <c r="E389" s="43" t="str">
        <f>IFERROR(VLOOKUP(D389,'Daftar Akun'!A$6:$B$103,2,FALSE),"")</f>
        <v>Piutang Ongkir</v>
      </c>
      <c r="F389" s="129"/>
      <c r="G389" s="122">
        <v>130000.0</v>
      </c>
      <c r="H389" s="34"/>
      <c r="I389" s="68">
        <f t="shared" si="1"/>
        <v>27</v>
      </c>
      <c r="J389" s="68" t="str">
        <f t="shared" si="2"/>
        <v>1107-27</v>
      </c>
      <c r="K389" s="71" t="str">
        <f>E388</f>
        <v>Bank</v>
      </c>
      <c r="L389" s="34" t="str">
        <f t="shared" si="3"/>
        <v>1102</v>
      </c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5.75" customHeight="1">
      <c r="A390" s="118">
        <v>46249.0</v>
      </c>
      <c r="B390" s="131"/>
      <c r="C390" s="120" t="s">
        <v>454</v>
      </c>
      <c r="D390" s="121" t="s">
        <v>51</v>
      </c>
      <c r="E390" s="43" t="str">
        <f>IFERROR(VLOOKUP(D390,'Daftar Akun'!A$6:$B$103,2,FALSE),"")</f>
        <v>Piutang Ongkir</v>
      </c>
      <c r="F390" s="122">
        <v>4323659.0</v>
      </c>
      <c r="G390" s="129"/>
      <c r="H390" s="34"/>
      <c r="I390" s="68">
        <f t="shared" si="1"/>
        <v>28</v>
      </c>
      <c r="J390" s="68" t="str">
        <f t="shared" si="2"/>
        <v>1107-28</v>
      </c>
      <c r="K390" s="71" t="str">
        <f>E391</f>
        <v>Bank</v>
      </c>
      <c r="L390" s="34" t="str">
        <f t="shared" si="3"/>
        <v>1102</v>
      </c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5.75" customHeight="1">
      <c r="A391" s="118">
        <v>46249.0</v>
      </c>
      <c r="B391" s="131"/>
      <c r="C391" s="120" t="s">
        <v>454</v>
      </c>
      <c r="D391" s="121" t="s">
        <v>33</v>
      </c>
      <c r="E391" s="43" t="str">
        <f>IFERROR(VLOOKUP(D391,'Daftar Akun'!A$6:$B$103,2,FALSE),"")</f>
        <v>Bank</v>
      </c>
      <c r="F391" s="129"/>
      <c r="G391" s="122">
        <v>4323659.0</v>
      </c>
      <c r="H391" s="34"/>
      <c r="I391" s="68">
        <f t="shared" si="1"/>
        <v>83</v>
      </c>
      <c r="J391" s="68" t="str">
        <f t="shared" si="2"/>
        <v>1102-83</v>
      </c>
      <c r="K391" s="71" t="str">
        <f>E390</f>
        <v>Piutang Ongkir</v>
      </c>
      <c r="L391" s="34" t="str">
        <f t="shared" si="3"/>
        <v>1107</v>
      </c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5.75" customHeight="1">
      <c r="A392" s="118">
        <v>46249.0</v>
      </c>
      <c r="B392" s="131"/>
      <c r="C392" s="120" t="s">
        <v>455</v>
      </c>
      <c r="D392" s="121" t="s">
        <v>33</v>
      </c>
      <c r="E392" s="43" t="str">
        <f>IFERROR(VLOOKUP(D392,'Daftar Akun'!A$6:$B$103,2,FALSE),"")</f>
        <v>Bank</v>
      </c>
      <c r="F392" s="122">
        <v>4323659.0</v>
      </c>
      <c r="G392" s="129"/>
      <c r="H392" s="34"/>
      <c r="I392" s="68">
        <f t="shared" si="1"/>
        <v>84</v>
      </c>
      <c r="J392" s="68" t="str">
        <f t="shared" si="2"/>
        <v>1102-84</v>
      </c>
      <c r="K392" s="71" t="str">
        <f>E393</f>
        <v>Piutang Ongkir</v>
      </c>
      <c r="L392" s="34" t="str">
        <f t="shared" si="3"/>
        <v>1107</v>
      </c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5.75" customHeight="1">
      <c r="A393" s="118">
        <v>46249.0</v>
      </c>
      <c r="B393" s="131"/>
      <c r="C393" s="120" t="s">
        <v>455</v>
      </c>
      <c r="D393" s="121" t="s">
        <v>51</v>
      </c>
      <c r="E393" s="43" t="str">
        <f>IFERROR(VLOOKUP(D393,'Daftar Akun'!A$6:$B$103,2,FALSE),"")</f>
        <v>Piutang Ongkir</v>
      </c>
      <c r="F393" s="129"/>
      <c r="G393" s="122">
        <v>4323659.0</v>
      </c>
      <c r="H393" s="34"/>
      <c r="I393" s="68">
        <f t="shared" si="1"/>
        <v>29</v>
      </c>
      <c r="J393" s="68" t="str">
        <f t="shared" si="2"/>
        <v>1107-29</v>
      </c>
      <c r="K393" s="71" t="str">
        <f>E392</f>
        <v>Bank</v>
      </c>
      <c r="L393" s="34" t="str">
        <f t="shared" si="3"/>
        <v>1102</v>
      </c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5.75" customHeight="1">
      <c r="A394" s="118">
        <v>46249.0</v>
      </c>
      <c r="B394" s="131"/>
      <c r="C394" s="120" t="s">
        <v>456</v>
      </c>
      <c r="D394" s="121" t="s">
        <v>33</v>
      </c>
      <c r="E394" s="43" t="str">
        <f>IFERROR(VLOOKUP(D394,'Daftar Akun'!A$6:$B$103,2,FALSE),"")</f>
        <v>Bank</v>
      </c>
      <c r="F394" s="122">
        <v>5813000.0</v>
      </c>
      <c r="G394" s="129"/>
      <c r="H394" s="34"/>
      <c r="I394" s="68">
        <f t="shared" si="1"/>
        <v>85</v>
      </c>
      <c r="J394" s="68" t="str">
        <f t="shared" si="2"/>
        <v>1102-85</v>
      </c>
      <c r="K394" s="71" t="str">
        <f>E395</f>
        <v>Piutang Dagang</v>
      </c>
      <c r="L394" s="34" t="str">
        <f t="shared" si="3"/>
        <v>1103</v>
      </c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5.75" customHeight="1">
      <c r="A395" s="118">
        <v>46249.0</v>
      </c>
      <c r="B395" s="131"/>
      <c r="C395" s="120" t="s">
        <v>456</v>
      </c>
      <c r="D395" s="121" t="s">
        <v>36</v>
      </c>
      <c r="E395" s="43" t="str">
        <f>IFERROR(VLOOKUP(D395,'Daftar Akun'!A$6:$B$103,2,FALSE),"")</f>
        <v>Piutang Dagang</v>
      </c>
      <c r="F395" s="129"/>
      <c r="G395" s="122">
        <v>5813000.0</v>
      </c>
      <c r="H395" s="34"/>
      <c r="I395" s="68">
        <f t="shared" si="1"/>
        <v>50</v>
      </c>
      <c r="J395" s="68" t="str">
        <f t="shared" si="2"/>
        <v>1103-50</v>
      </c>
      <c r="K395" s="71" t="str">
        <f>E394</f>
        <v>Bank</v>
      </c>
      <c r="L395" s="34" t="str">
        <f t="shared" si="3"/>
        <v>1102</v>
      </c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5.75" customHeight="1">
      <c r="A396" s="118">
        <v>46249.0</v>
      </c>
      <c r="B396" s="131"/>
      <c r="C396" s="120" t="s">
        <v>198</v>
      </c>
      <c r="D396" s="121" t="s">
        <v>36</v>
      </c>
      <c r="E396" s="43" t="str">
        <f>IFERROR(VLOOKUP(D396,'Daftar Akun'!A$6:$B$103,2,FALSE),"")</f>
        <v>Piutang Dagang</v>
      </c>
      <c r="F396" s="122">
        <v>330000.0</v>
      </c>
      <c r="G396" s="129"/>
      <c r="H396" s="34"/>
      <c r="I396" s="68">
        <f t="shared" si="1"/>
        <v>51</v>
      </c>
      <c r="J396" s="68" t="str">
        <f t="shared" si="2"/>
        <v>1103-51</v>
      </c>
      <c r="K396" s="71" t="str">
        <f>E397</f>
        <v>Penjualan</v>
      </c>
      <c r="L396" s="34" t="str">
        <f t="shared" si="3"/>
        <v>4101</v>
      </c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5.75" customHeight="1">
      <c r="A397" s="118">
        <v>46249.0</v>
      </c>
      <c r="B397" s="131"/>
      <c r="C397" s="120" t="s">
        <v>198</v>
      </c>
      <c r="D397" s="121" t="s">
        <v>80</v>
      </c>
      <c r="E397" s="43" t="str">
        <f>IFERROR(VLOOKUP(D397,'Daftar Akun'!A$6:$B$103,2,FALSE),"")</f>
        <v>Penjualan</v>
      </c>
      <c r="F397" s="129"/>
      <c r="G397" s="122">
        <v>330000.0</v>
      </c>
      <c r="H397" s="34"/>
      <c r="I397" s="68">
        <f t="shared" si="1"/>
        <v>50</v>
      </c>
      <c r="J397" s="68" t="str">
        <f t="shared" si="2"/>
        <v>4101-50</v>
      </c>
      <c r="K397" s="71" t="str">
        <f>E396</f>
        <v>Piutang Dagang</v>
      </c>
      <c r="L397" s="34" t="str">
        <f t="shared" si="3"/>
        <v>1103</v>
      </c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5.75" customHeight="1">
      <c r="A398" s="118">
        <v>46251.0</v>
      </c>
      <c r="B398" s="131"/>
      <c r="C398" s="120" t="s">
        <v>160</v>
      </c>
      <c r="D398" s="121" t="s">
        <v>18</v>
      </c>
      <c r="E398" s="43" t="str">
        <f>IFERROR(VLOOKUP(D398,'Daftar Akun'!A$6:$B$103,2,FALSE),"")</f>
        <v>Kas</v>
      </c>
      <c r="F398" s="122">
        <v>189000.0</v>
      </c>
      <c r="G398" s="129"/>
      <c r="H398" s="34"/>
      <c r="I398" s="68">
        <f t="shared" si="1"/>
        <v>65</v>
      </c>
      <c r="J398" s="68" t="str">
        <f t="shared" si="2"/>
        <v>1101-65</v>
      </c>
      <c r="K398" s="71" t="str">
        <f>E399</f>
        <v>Bank</v>
      </c>
      <c r="L398" s="34" t="str">
        <f t="shared" si="3"/>
        <v>1102</v>
      </c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5.75" customHeight="1">
      <c r="A399" s="118">
        <v>46251.0</v>
      </c>
      <c r="B399" s="131"/>
      <c r="C399" s="120" t="s">
        <v>160</v>
      </c>
      <c r="D399" s="121" t="s">
        <v>33</v>
      </c>
      <c r="E399" s="43" t="str">
        <f>IFERROR(VLOOKUP(D399,'Daftar Akun'!A$6:$B$103,2,FALSE),"")</f>
        <v>Bank</v>
      </c>
      <c r="F399" s="129"/>
      <c r="G399" s="122">
        <v>189000.0</v>
      </c>
      <c r="H399" s="34"/>
      <c r="I399" s="68">
        <f t="shared" si="1"/>
        <v>86</v>
      </c>
      <c r="J399" s="68" t="str">
        <f t="shared" si="2"/>
        <v>1102-86</v>
      </c>
      <c r="K399" s="71" t="str">
        <f>E398</f>
        <v>Kas</v>
      </c>
      <c r="L399" s="34" t="str">
        <f t="shared" si="3"/>
        <v>1101</v>
      </c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5.75" customHeight="1">
      <c r="A400" s="118">
        <v>46251.0</v>
      </c>
      <c r="B400" s="131"/>
      <c r="C400" s="120" t="s">
        <v>457</v>
      </c>
      <c r="D400" s="121" t="s">
        <v>105</v>
      </c>
      <c r="E400" s="43" t="str">
        <f>IFERROR(VLOOKUP(D400,'Daftar Akun'!A$6:$B$103,2,FALSE),"")</f>
        <v>Beban Gaji</v>
      </c>
      <c r="F400" s="122">
        <v>625000.0</v>
      </c>
      <c r="G400" s="129"/>
      <c r="H400" s="34"/>
      <c r="I400" s="68">
        <f t="shared" si="1"/>
        <v>4</v>
      </c>
      <c r="J400" s="68" t="str">
        <f t="shared" si="2"/>
        <v>6101-4</v>
      </c>
      <c r="K400" s="71" t="str">
        <f>E401</f>
        <v>Kas</v>
      </c>
      <c r="L400" s="34" t="str">
        <f t="shared" si="3"/>
        <v>1101</v>
      </c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5.75" customHeight="1">
      <c r="A401" s="118">
        <v>46251.0</v>
      </c>
      <c r="B401" s="131"/>
      <c r="C401" s="120" t="s">
        <v>457</v>
      </c>
      <c r="D401" s="121" t="s">
        <v>18</v>
      </c>
      <c r="E401" s="43" t="str">
        <f>IFERROR(VLOOKUP(D401,'Daftar Akun'!A$6:$B$103,2,FALSE),"")</f>
        <v>Kas</v>
      </c>
      <c r="F401" s="129"/>
      <c r="G401" s="122">
        <v>625000.0</v>
      </c>
      <c r="H401" s="34"/>
      <c r="I401" s="68">
        <f t="shared" si="1"/>
        <v>66</v>
      </c>
      <c r="J401" s="68" t="str">
        <f t="shared" si="2"/>
        <v>1101-66</v>
      </c>
      <c r="K401" s="71" t="str">
        <f>E400</f>
        <v>Beban Gaji</v>
      </c>
      <c r="L401" s="34" t="str">
        <f t="shared" si="3"/>
        <v>6101</v>
      </c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5.75" customHeight="1">
      <c r="A402" s="118">
        <v>46251.0</v>
      </c>
      <c r="B402" s="119" t="s">
        <v>458</v>
      </c>
      <c r="C402" s="120" t="s">
        <v>459</v>
      </c>
      <c r="D402" s="121" t="s">
        <v>121</v>
      </c>
      <c r="E402" s="43" t="str">
        <f>IFERROR(VLOOKUP(D402,'Daftar Akun'!A$6:$B$103,2,FALSE),"")</f>
        <v>Beban Lain-Lain</v>
      </c>
      <c r="F402" s="122">
        <v>30000.0</v>
      </c>
      <c r="G402" s="129"/>
      <c r="H402" s="34"/>
      <c r="I402" s="68">
        <f t="shared" si="1"/>
        <v>13</v>
      </c>
      <c r="J402" s="68" t="str">
        <f t="shared" si="2"/>
        <v>6108-13</v>
      </c>
      <c r="K402" s="71" t="str">
        <f>E403</f>
        <v>Kas</v>
      </c>
      <c r="L402" s="34" t="str">
        <f t="shared" si="3"/>
        <v>1101</v>
      </c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5.75" customHeight="1">
      <c r="A403" s="118">
        <v>46251.0</v>
      </c>
      <c r="B403" s="119" t="s">
        <v>458</v>
      </c>
      <c r="C403" s="120" t="s">
        <v>459</v>
      </c>
      <c r="D403" s="121" t="s">
        <v>18</v>
      </c>
      <c r="E403" s="43" t="str">
        <f>IFERROR(VLOOKUP(D403,'Daftar Akun'!A$6:$B$103,2,FALSE),"")</f>
        <v>Kas</v>
      </c>
      <c r="F403" s="129"/>
      <c r="G403" s="122">
        <v>30000.0</v>
      </c>
      <c r="H403" s="34"/>
      <c r="I403" s="68">
        <f t="shared" si="1"/>
        <v>67</v>
      </c>
      <c r="J403" s="68" t="str">
        <f t="shared" si="2"/>
        <v>1101-67</v>
      </c>
      <c r="K403" s="71" t="str">
        <f>E402</f>
        <v>Beban Lain-Lain</v>
      </c>
      <c r="L403" s="34" t="str">
        <f t="shared" si="3"/>
        <v>6108</v>
      </c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5.75" customHeight="1">
      <c r="A404" s="118">
        <v>46251.0</v>
      </c>
      <c r="B404" s="119" t="s">
        <v>460</v>
      </c>
      <c r="C404" s="120" t="s">
        <v>249</v>
      </c>
      <c r="D404" s="121" t="s">
        <v>93</v>
      </c>
      <c r="E404" s="43" t="str">
        <f>IFERROR(VLOOKUP(D404,'Daftar Akun'!A$6:$B$103,2,FALSE),"")</f>
        <v>Pembelian Bunga</v>
      </c>
      <c r="F404" s="122">
        <v>216000.0</v>
      </c>
      <c r="G404" s="129"/>
      <c r="H404" s="34"/>
      <c r="I404" s="68">
        <f t="shared" si="1"/>
        <v>66</v>
      </c>
      <c r="J404" s="68" t="str">
        <f t="shared" si="2"/>
        <v>5101-66</v>
      </c>
      <c r="K404" s="71" t="str">
        <f>E405</f>
        <v>Kas</v>
      </c>
      <c r="L404" s="34" t="str">
        <f t="shared" si="3"/>
        <v>1101</v>
      </c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5.75" customHeight="1">
      <c r="A405" s="118">
        <v>46251.0</v>
      </c>
      <c r="B405" s="119" t="s">
        <v>460</v>
      </c>
      <c r="C405" s="120" t="s">
        <v>249</v>
      </c>
      <c r="D405" s="121" t="s">
        <v>18</v>
      </c>
      <c r="E405" s="43" t="str">
        <f>IFERROR(VLOOKUP(D405,'Daftar Akun'!A$6:$B$103,2,FALSE),"")</f>
        <v>Kas</v>
      </c>
      <c r="F405" s="129"/>
      <c r="G405" s="122">
        <v>216000.0</v>
      </c>
      <c r="H405" s="34"/>
      <c r="I405" s="68">
        <f t="shared" si="1"/>
        <v>68</v>
      </c>
      <c r="J405" s="68" t="str">
        <f t="shared" si="2"/>
        <v>1101-68</v>
      </c>
      <c r="K405" s="71" t="str">
        <f>E404</f>
        <v>Pembelian Bunga</v>
      </c>
      <c r="L405" s="34" t="str">
        <f t="shared" si="3"/>
        <v>5101</v>
      </c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5.75" customHeight="1">
      <c r="A406" s="118">
        <v>46251.0</v>
      </c>
      <c r="B406" s="119" t="s">
        <v>461</v>
      </c>
      <c r="C406" s="120" t="s">
        <v>233</v>
      </c>
      <c r="D406" s="121" t="s">
        <v>93</v>
      </c>
      <c r="E406" s="43" t="str">
        <f>IFERROR(VLOOKUP(D406,'Daftar Akun'!A$6:$B$103,2,FALSE),"")</f>
        <v>Pembelian Bunga</v>
      </c>
      <c r="F406" s="122">
        <v>75000.0</v>
      </c>
      <c r="G406" s="129"/>
      <c r="H406" s="34"/>
      <c r="I406" s="68">
        <f t="shared" si="1"/>
        <v>67</v>
      </c>
      <c r="J406" s="68" t="str">
        <f t="shared" si="2"/>
        <v>5101-67</v>
      </c>
      <c r="K406" s="71" t="str">
        <f>E407</f>
        <v>Kas</v>
      </c>
      <c r="L406" s="34" t="str">
        <f t="shared" si="3"/>
        <v>1101</v>
      </c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5.75" customHeight="1">
      <c r="A407" s="118">
        <v>46251.0</v>
      </c>
      <c r="B407" s="119" t="s">
        <v>461</v>
      </c>
      <c r="C407" s="120" t="s">
        <v>233</v>
      </c>
      <c r="D407" s="121" t="s">
        <v>18</v>
      </c>
      <c r="E407" s="43" t="str">
        <f>IFERROR(VLOOKUP(D407,'Daftar Akun'!A$6:$B$103,2,FALSE),"")</f>
        <v>Kas</v>
      </c>
      <c r="F407" s="129"/>
      <c r="G407" s="122">
        <v>75000.0</v>
      </c>
      <c r="H407" s="34"/>
      <c r="I407" s="68">
        <f t="shared" si="1"/>
        <v>69</v>
      </c>
      <c r="J407" s="68" t="str">
        <f t="shared" si="2"/>
        <v>1101-69</v>
      </c>
      <c r="K407" s="71" t="str">
        <f>E406</f>
        <v>Pembelian Bunga</v>
      </c>
      <c r="L407" s="34" t="str">
        <f t="shared" si="3"/>
        <v>5101</v>
      </c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5.75" customHeight="1">
      <c r="A408" s="118">
        <v>46251.0</v>
      </c>
      <c r="B408" s="131"/>
      <c r="C408" s="120" t="s">
        <v>462</v>
      </c>
      <c r="D408" s="121" t="s">
        <v>121</v>
      </c>
      <c r="E408" s="43" t="str">
        <f>IFERROR(VLOOKUP(D408,'Daftar Akun'!A$6:$B$103,2,FALSE),"")</f>
        <v>Beban Lain-Lain</v>
      </c>
      <c r="F408" s="122">
        <v>300000.0</v>
      </c>
      <c r="G408" s="129"/>
      <c r="H408" s="34"/>
      <c r="I408" s="68">
        <f t="shared" si="1"/>
        <v>14</v>
      </c>
      <c r="J408" s="68" t="str">
        <f t="shared" si="2"/>
        <v>6108-14</v>
      </c>
      <c r="K408" s="71" t="str">
        <f>E409</f>
        <v>Kas</v>
      </c>
      <c r="L408" s="34" t="str">
        <f t="shared" si="3"/>
        <v>1101</v>
      </c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5.75" customHeight="1">
      <c r="A409" s="118">
        <v>46251.0</v>
      </c>
      <c r="B409" s="131"/>
      <c r="C409" s="120" t="s">
        <v>462</v>
      </c>
      <c r="D409" s="121" t="s">
        <v>18</v>
      </c>
      <c r="E409" s="43" t="str">
        <f>IFERROR(VLOOKUP(D409,'Daftar Akun'!A$6:$B$103,2,FALSE),"")</f>
        <v>Kas</v>
      </c>
      <c r="F409" s="129"/>
      <c r="G409" s="122">
        <v>300000.0</v>
      </c>
      <c r="H409" s="34"/>
      <c r="I409" s="68">
        <f t="shared" si="1"/>
        <v>70</v>
      </c>
      <c r="J409" s="68" t="str">
        <f t="shared" si="2"/>
        <v>1101-70</v>
      </c>
      <c r="K409" s="71" t="str">
        <f>E408</f>
        <v>Beban Lain-Lain</v>
      </c>
      <c r="L409" s="34" t="str">
        <f t="shared" si="3"/>
        <v>6108</v>
      </c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5.75" customHeight="1">
      <c r="A410" s="118">
        <v>46251.0</v>
      </c>
      <c r="B410" s="131"/>
      <c r="C410" s="120" t="s">
        <v>463</v>
      </c>
      <c r="D410" s="121" t="s">
        <v>93</v>
      </c>
      <c r="E410" s="43" t="str">
        <f>IFERROR(VLOOKUP(D410,'Daftar Akun'!A$6:$B$103,2,FALSE),"")</f>
        <v>Pembelian Bunga</v>
      </c>
      <c r="F410" s="122">
        <v>226000.0</v>
      </c>
      <c r="G410" s="129"/>
      <c r="H410" s="34"/>
      <c r="I410" s="68">
        <f t="shared" si="1"/>
        <v>68</v>
      </c>
      <c r="J410" s="68" t="str">
        <f t="shared" si="2"/>
        <v>5101-68</v>
      </c>
      <c r="K410" s="71" t="str">
        <f>E411</f>
        <v>Bank</v>
      </c>
      <c r="L410" s="34" t="str">
        <f t="shared" si="3"/>
        <v>1102</v>
      </c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5.75" customHeight="1">
      <c r="A411" s="118">
        <v>46251.0</v>
      </c>
      <c r="B411" s="131"/>
      <c r="C411" s="120" t="s">
        <v>463</v>
      </c>
      <c r="D411" s="121" t="s">
        <v>33</v>
      </c>
      <c r="E411" s="43" t="str">
        <f>IFERROR(VLOOKUP(D411,'Daftar Akun'!A$6:$B$103,2,FALSE),"")</f>
        <v>Bank</v>
      </c>
      <c r="F411" s="129"/>
      <c r="G411" s="122">
        <v>226000.0</v>
      </c>
      <c r="H411" s="34"/>
      <c r="I411" s="68">
        <f t="shared" si="1"/>
        <v>87</v>
      </c>
      <c r="J411" s="68" t="str">
        <f t="shared" si="2"/>
        <v>1102-87</v>
      </c>
      <c r="K411" s="71" t="str">
        <f>E410</f>
        <v>Pembelian Bunga</v>
      </c>
      <c r="L411" s="34" t="str">
        <f t="shared" si="3"/>
        <v>5101</v>
      </c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5.75" customHeight="1">
      <c r="A412" s="118">
        <v>46251.0</v>
      </c>
      <c r="B412" s="131"/>
      <c r="C412" s="120" t="s">
        <v>464</v>
      </c>
      <c r="D412" s="121" t="s">
        <v>93</v>
      </c>
      <c r="E412" s="43" t="str">
        <f>IFERROR(VLOOKUP(D412,'Daftar Akun'!A$6:$B$103,2,FALSE),"")</f>
        <v>Pembelian Bunga</v>
      </c>
      <c r="F412" s="122">
        <v>1290000.0</v>
      </c>
      <c r="G412" s="129"/>
      <c r="H412" s="34"/>
      <c r="I412" s="68">
        <f t="shared" si="1"/>
        <v>69</v>
      </c>
      <c r="J412" s="68" t="str">
        <f t="shared" si="2"/>
        <v>5101-69</v>
      </c>
      <c r="K412" s="71" t="str">
        <f>E413</f>
        <v>Bank</v>
      </c>
      <c r="L412" s="34" t="str">
        <f t="shared" si="3"/>
        <v>1102</v>
      </c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5.75" customHeight="1">
      <c r="A413" s="118">
        <v>46251.0</v>
      </c>
      <c r="B413" s="131"/>
      <c r="C413" s="120" t="s">
        <v>464</v>
      </c>
      <c r="D413" s="121" t="s">
        <v>33</v>
      </c>
      <c r="E413" s="43" t="str">
        <f>IFERROR(VLOOKUP(D413,'Daftar Akun'!A$6:$B$103,2,FALSE),"")</f>
        <v>Bank</v>
      </c>
      <c r="F413" s="129"/>
      <c r="G413" s="122">
        <v>1290000.0</v>
      </c>
      <c r="H413" s="34"/>
      <c r="I413" s="68">
        <f t="shared" si="1"/>
        <v>88</v>
      </c>
      <c r="J413" s="68" t="str">
        <f t="shared" si="2"/>
        <v>1102-88</v>
      </c>
      <c r="K413" s="71" t="str">
        <f>E412</f>
        <v>Pembelian Bunga</v>
      </c>
      <c r="L413" s="34" t="str">
        <f t="shared" si="3"/>
        <v>5101</v>
      </c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5.75" customHeight="1">
      <c r="A414" s="118">
        <v>46251.0</v>
      </c>
      <c r="B414" s="131"/>
      <c r="C414" s="120" t="s">
        <v>324</v>
      </c>
      <c r="D414" s="121" t="s">
        <v>93</v>
      </c>
      <c r="E414" s="43" t="str">
        <f>IFERROR(VLOOKUP(D414,'Daftar Akun'!A$6:$B$103,2,FALSE),"")</f>
        <v>Pembelian Bunga</v>
      </c>
      <c r="F414" s="122">
        <v>791000.0</v>
      </c>
      <c r="G414" s="129"/>
      <c r="H414" s="34"/>
      <c r="I414" s="68">
        <f t="shared" si="1"/>
        <v>70</v>
      </c>
      <c r="J414" s="68" t="str">
        <f t="shared" si="2"/>
        <v>5101-70</v>
      </c>
      <c r="K414" s="71" t="str">
        <f>E415</f>
        <v>Bank</v>
      </c>
      <c r="L414" s="34" t="str">
        <f t="shared" si="3"/>
        <v>1102</v>
      </c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5.75" customHeight="1">
      <c r="A415" s="118">
        <v>46251.0</v>
      </c>
      <c r="B415" s="131"/>
      <c r="C415" s="120" t="s">
        <v>324</v>
      </c>
      <c r="D415" s="121" t="s">
        <v>33</v>
      </c>
      <c r="E415" s="43" t="str">
        <f>IFERROR(VLOOKUP(D415,'Daftar Akun'!A$6:$B$103,2,FALSE),"")</f>
        <v>Bank</v>
      </c>
      <c r="F415" s="129"/>
      <c r="G415" s="122">
        <v>791000.0</v>
      </c>
      <c r="H415" s="34"/>
      <c r="I415" s="68">
        <f t="shared" si="1"/>
        <v>89</v>
      </c>
      <c r="J415" s="68" t="str">
        <f t="shared" si="2"/>
        <v>1102-89</v>
      </c>
      <c r="K415" s="71" t="str">
        <f>E414</f>
        <v>Pembelian Bunga</v>
      </c>
      <c r="L415" s="34" t="str">
        <f t="shared" si="3"/>
        <v>5101</v>
      </c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5.75" customHeight="1">
      <c r="A416" s="118">
        <v>46251.0</v>
      </c>
      <c r="B416" s="131"/>
      <c r="C416" s="120" t="s">
        <v>465</v>
      </c>
      <c r="D416" s="121" t="s">
        <v>105</v>
      </c>
      <c r="E416" s="43" t="str">
        <f>IFERROR(VLOOKUP(D416,'Daftar Akun'!A$6:$B$103,2,FALSE),"")</f>
        <v>Beban Gaji</v>
      </c>
      <c r="F416" s="122">
        <v>500000.0</v>
      </c>
      <c r="G416" s="129"/>
      <c r="H416" s="34"/>
      <c r="I416" s="68">
        <f t="shared" si="1"/>
        <v>5</v>
      </c>
      <c r="J416" s="68" t="str">
        <f t="shared" si="2"/>
        <v>6101-5</v>
      </c>
      <c r="K416" s="71" t="str">
        <f>E417</f>
        <v>Bank</v>
      </c>
      <c r="L416" s="34" t="str">
        <f t="shared" si="3"/>
        <v>1102</v>
      </c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5.75" customHeight="1">
      <c r="A417" s="118">
        <v>46251.0</v>
      </c>
      <c r="B417" s="131"/>
      <c r="C417" s="120" t="s">
        <v>465</v>
      </c>
      <c r="D417" s="121" t="s">
        <v>33</v>
      </c>
      <c r="E417" s="43" t="str">
        <f>IFERROR(VLOOKUP(D417,'Daftar Akun'!A$6:$B$103,2,FALSE),"")</f>
        <v>Bank</v>
      </c>
      <c r="F417" s="129"/>
      <c r="G417" s="122">
        <v>500000.0</v>
      </c>
      <c r="H417" s="34"/>
      <c r="I417" s="68">
        <f t="shared" si="1"/>
        <v>90</v>
      </c>
      <c r="J417" s="68" t="str">
        <f t="shared" si="2"/>
        <v>1102-90</v>
      </c>
      <c r="K417" s="71" t="str">
        <f>E416</f>
        <v>Beban Gaji</v>
      </c>
      <c r="L417" s="34" t="str">
        <f t="shared" si="3"/>
        <v>6101</v>
      </c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5.75" customHeight="1">
      <c r="A418" s="118">
        <v>46251.0</v>
      </c>
      <c r="B418" s="119" t="s">
        <v>466</v>
      </c>
      <c r="C418" s="120" t="s">
        <v>451</v>
      </c>
      <c r="D418" s="121" t="s">
        <v>36</v>
      </c>
      <c r="E418" s="43" t="str">
        <f>IFERROR(VLOOKUP(D418,'Daftar Akun'!A$6:$B$103,2,FALSE),"")</f>
        <v>Piutang Dagang</v>
      </c>
      <c r="F418" s="122">
        <v>700000.0</v>
      </c>
      <c r="G418" s="129"/>
      <c r="H418" s="34"/>
      <c r="I418" s="68">
        <f t="shared" si="1"/>
        <v>52</v>
      </c>
      <c r="J418" s="68" t="str">
        <f t="shared" si="2"/>
        <v>1103-52</v>
      </c>
      <c r="K418" s="71" t="str">
        <f>E419</f>
        <v>Penjualan</v>
      </c>
      <c r="L418" s="34" t="str">
        <f t="shared" si="3"/>
        <v>4101</v>
      </c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5.75" customHeight="1">
      <c r="A419" s="118">
        <v>46251.0</v>
      </c>
      <c r="B419" s="119" t="s">
        <v>466</v>
      </c>
      <c r="C419" s="120" t="s">
        <v>451</v>
      </c>
      <c r="D419" s="121" t="s">
        <v>80</v>
      </c>
      <c r="E419" s="43" t="str">
        <f>IFERROR(VLOOKUP(D419,'Daftar Akun'!A$6:$B$103,2,FALSE),"")</f>
        <v>Penjualan</v>
      </c>
      <c r="F419" s="129"/>
      <c r="G419" s="122">
        <v>700000.0</v>
      </c>
      <c r="H419" s="34"/>
      <c r="I419" s="68">
        <f t="shared" si="1"/>
        <v>51</v>
      </c>
      <c r="J419" s="68" t="str">
        <f t="shared" si="2"/>
        <v>4101-51</v>
      </c>
      <c r="K419" s="71" t="str">
        <f>E418</f>
        <v>Piutang Dagang</v>
      </c>
      <c r="L419" s="34" t="str">
        <f t="shared" si="3"/>
        <v>1103</v>
      </c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5.75" customHeight="1">
      <c r="A420" s="118">
        <v>46251.0</v>
      </c>
      <c r="B420" s="119" t="s">
        <v>467</v>
      </c>
      <c r="C420" s="120" t="s">
        <v>195</v>
      </c>
      <c r="D420" s="121" t="s">
        <v>93</v>
      </c>
      <c r="E420" s="43" t="str">
        <f>IFERROR(VLOOKUP(D420,'Daftar Akun'!A$6:$B$103,2,FALSE),"")</f>
        <v>Pembelian Bunga</v>
      </c>
      <c r="F420" s="122">
        <v>252000.0</v>
      </c>
      <c r="G420" s="129"/>
      <c r="H420" s="34"/>
      <c r="I420" s="68">
        <f t="shared" si="1"/>
        <v>71</v>
      </c>
      <c r="J420" s="68" t="str">
        <f t="shared" si="2"/>
        <v>5101-71</v>
      </c>
      <c r="K420" s="71" t="str">
        <f>E421</f>
        <v>Hutang Dagang</v>
      </c>
      <c r="L420" s="34" t="str">
        <f t="shared" si="3"/>
        <v>2101</v>
      </c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5.75" customHeight="1">
      <c r="A421" s="118">
        <v>46251.0</v>
      </c>
      <c r="B421" s="119" t="s">
        <v>467</v>
      </c>
      <c r="C421" s="120" t="s">
        <v>195</v>
      </c>
      <c r="D421" s="121" t="s">
        <v>67</v>
      </c>
      <c r="E421" s="43" t="str">
        <f>IFERROR(VLOOKUP(D421,'Daftar Akun'!A$6:$B$103,2,FALSE),"")</f>
        <v>Hutang Dagang</v>
      </c>
      <c r="F421" s="129"/>
      <c r="G421" s="122">
        <v>252000.0</v>
      </c>
      <c r="H421" s="34"/>
      <c r="I421" s="68">
        <f t="shared" si="1"/>
        <v>14</v>
      </c>
      <c r="J421" s="68" t="str">
        <f t="shared" si="2"/>
        <v>2101-14</v>
      </c>
      <c r="K421" s="71" t="str">
        <f>E420</f>
        <v>Pembelian Bunga</v>
      </c>
      <c r="L421" s="34" t="str">
        <f t="shared" si="3"/>
        <v>5101</v>
      </c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5.75" customHeight="1">
      <c r="A422" s="118">
        <v>46252.0</v>
      </c>
      <c r="B422" s="131"/>
      <c r="C422" s="120" t="s">
        <v>160</v>
      </c>
      <c r="D422" s="121" t="s">
        <v>18</v>
      </c>
      <c r="E422" s="43" t="str">
        <f>IFERROR(VLOOKUP(D422,'Daftar Akun'!A$6:$B$103,2,FALSE),"")</f>
        <v>Kas</v>
      </c>
      <c r="F422" s="122">
        <v>500000.0</v>
      </c>
      <c r="G422" s="129"/>
      <c r="H422" s="34"/>
      <c r="I422" s="68">
        <f t="shared" si="1"/>
        <v>71</v>
      </c>
      <c r="J422" s="68" t="str">
        <f t="shared" si="2"/>
        <v>1101-71</v>
      </c>
      <c r="K422" s="71" t="str">
        <f>E423</f>
        <v>Bank</v>
      </c>
      <c r="L422" s="34" t="str">
        <f t="shared" si="3"/>
        <v>1102</v>
      </c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5.75" customHeight="1">
      <c r="A423" s="118">
        <v>46252.0</v>
      </c>
      <c r="B423" s="131"/>
      <c r="C423" s="120" t="s">
        <v>160</v>
      </c>
      <c r="D423" s="121" t="s">
        <v>33</v>
      </c>
      <c r="E423" s="43" t="str">
        <f>IFERROR(VLOOKUP(D423,'Daftar Akun'!A$6:$B$103,2,FALSE),"")</f>
        <v>Bank</v>
      </c>
      <c r="F423" s="129"/>
      <c r="G423" s="122">
        <v>500000.0</v>
      </c>
      <c r="H423" s="34"/>
      <c r="I423" s="68">
        <f t="shared" si="1"/>
        <v>91</v>
      </c>
      <c r="J423" s="68" t="str">
        <f t="shared" si="2"/>
        <v>1102-91</v>
      </c>
      <c r="K423" s="71" t="str">
        <f>E422</f>
        <v>Kas</v>
      </c>
      <c r="L423" s="34" t="str">
        <f t="shared" si="3"/>
        <v>1101</v>
      </c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5.75" customHeight="1">
      <c r="A424" s="118">
        <v>46252.0</v>
      </c>
      <c r="B424" s="119" t="s">
        <v>468</v>
      </c>
      <c r="C424" s="120" t="s">
        <v>469</v>
      </c>
      <c r="D424" s="121" t="s">
        <v>93</v>
      </c>
      <c r="E424" s="43" t="str">
        <f>IFERROR(VLOOKUP(D424,'Daftar Akun'!A$6:$B$103,2,FALSE),"")</f>
        <v>Pembelian Bunga</v>
      </c>
      <c r="F424" s="122">
        <v>30000.0</v>
      </c>
      <c r="G424" s="129"/>
      <c r="H424" s="34"/>
      <c r="I424" s="68">
        <f t="shared" si="1"/>
        <v>72</v>
      </c>
      <c r="J424" s="68" t="str">
        <f t="shared" si="2"/>
        <v>5101-72</v>
      </c>
      <c r="K424" s="71" t="str">
        <f>E425</f>
        <v>Kas</v>
      </c>
      <c r="L424" s="34" t="str">
        <f t="shared" si="3"/>
        <v>1101</v>
      </c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5.75" customHeight="1">
      <c r="A425" s="118">
        <v>46252.0</v>
      </c>
      <c r="B425" s="119" t="s">
        <v>468</v>
      </c>
      <c r="C425" s="120" t="s">
        <v>469</v>
      </c>
      <c r="D425" s="121" t="s">
        <v>18</v>
      </c>
      <c r="E425" s="43" t="str">
        <f>IFERROR(VLOOKUP(D425,'Daftar Akun'!A$6:$B$103,2,FALSE),"")</f>
        <v>Kas</v>
      </c>
      <c r="F425" s="129"/>
      <c r="G425" s="122">
        <v>30000.0</v>
      </c>
      <c r="H425" s="34"/>
      <c r="I425" s="68">
        <f t="shared" si="1"/>
        <v>72</v>
      </c>
      <c r="J425" s="68" t="str">
        <f t="shared" si="2"/>
        <v>1101-72</v>
      </c>
      <c r="K425" s="71" t="str">
        <f>E424</f>
        <v>Pembelian Bunga</v>
      </c>
      <c r="L425" s="34" t="str">
        <f t="shared" si="3"/>
        <v>5101</v>
      </c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5.75" customHeight="1">
      <c r="A426" s="118">
        <v>46252.0</v>
      </c>
      <c r="B426" s="119" t="s">
        <v>470</v>
      </c>
      <c r="C426" s="120" t="s">
        <v>249</v>
      </c>
      <c r="D426" s="121" t="s">
        <v>93</v>
      </c>
      <c r="E426" s="43" t="str">
        <f>IFERROR(VLOOKUP(D426,'Daftar Akun'!A$6:$B$103,2,FALSE),"")</f>
        <v>Pembelian Bunga</v>
      </c>
      <c r="F426" s="122">
        <v>356000.0</v>
      </c>
      <c r="G426" s="129"/>
      <c r="H426" s="34"/>
      <c r="I426" s="68">
        <f t="shared" si="1"/>
        <v>73</v>
      </c>
      <c r="J426" s="68" t="str">
        <f t="shared" si="2"/>
        <v>5101-73</v>
      </c>
      <c r="K426" s="71" t="str">
        <f>E427</f>
        <v>Kas</v>
      </c>
      <c r="L426" s="34" t="str">
        <f t="shared" si="3"/>
        <v>1101</v>
      </c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5.75" customHeight="1">
      <c r="A427" s="118">
        <v>46252.0</v>
      </c>
      <c r="B427" s="119" t="s">
        <v>470</v>
      </c>
      <c r="C427" s="120" t="s">
        <v>249</v>
      </c>
      <c r="D427" s="121" t="s">
        <v>18</v>
      </c>
      <c r="E427" s="43" t="str">
        <f>IFERROR(VLOOKUP(D427,'Daftar Akun'!A$6:$B$103,2,FALSE),"")</f>
        <v>Kas</v>
      </c>
      <c r="F427" s="129"/>
      <c r="G427" s="122">
        <v>356000.0</v>
      </c>
      <c r="H427" s="34"/>
      <c r="I427" s="68">
        <f t="shared" si="1"/>
        <v>73</v>
      </c>
      <c r="J427" s="68" t="str">
        <f t="shared" si="2"/>
        <v>1101-73</v>
      </c>
      <c r="K427" s="71" t="str">
        <f>E426</f>
        <v>Pembelian Bunga</v>
      </c>
      <c r="L427" s="34" t="str">
        <f t="shared" si="3"/>
        <v>5101</v>
      </c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5.75" customHeight="1">
      <c r="A428" s="118">
        <v>46252.0</v>
      </c>
      <c r="B428" s="119" t="s">
        <v>471</v>
      </c>
      <c r="C428" s="120" t="s">
        <v>339</v>
      </c>
      <c r="D428" s="121" t="s">
        <v>93</v>
      </c>
      <c r="E428" s="43" t="str">
        <f>IFERROR(VLOOKUP(D428,'Daftar Akun'!A$6:$B$103,2,FALSE),"")</f>
        <v>Pembelian Bunga</v>
      </c>
      <c r="F428" s="122">
        <v>75000.0</v>
      </c>
      <c r="G428" s="129"/>
      <c r="H428" s="34"/>
      <c r="I428" s="68">
        <f t="shared" si="1"/>
        <v>74</v>
      </c>
      <c r="J428" s="68" t="str">
        <f t="shared" si="2"/>
        <v>5101-74</v>
      </c>
      <c r="K428" s="71" t="str">
        <f>E429</f>
        <v>Kas</v>
      </c>
      <c r="L428" s="34" t="str">
        <f t="shared" si="3"/>
        <v>1101</v>
      </c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5.75" customHeight="1">
      <c r="A429" s="118">
        <v>46252.0</v>
      </c>
      <c r="B429" s="119" t="s">
        <v>471</v>
      </c>
      <c r="C429" s="120" t="s">
        <v>339</v>
      </c>
      <c r="D429" s="121" t="s">
        <v>18</v>
      </c>
      <c r="E429" s="43" t="str">
        <f>IFERROR(VLOOKUP(D429,'Daftar Akun'!A$6:$B$103,2,FALSE),"")</f>
        <v>Kas</v>
      </c>
      <c r="F429" s="129"/>
      <c r="G429" s="122">
        <v>75000.0</v>
      </c>
      <c r="H429" s="34"/>
      <c r="I429" s="68">
        <f t="shared" si="1"/>
        <v>74</v>
      </c>
      <c r="J429" s="68" t="str">
        <f t="shared" si="2"/>
        <v>1101-74</v>
      </c>
      <c r="K429" s="71" t="str">
        <f>E428</f>
        <v>Pembelian Bunga</v>
      </c>
      <c r="L429" s="34" t="str">
        <f t="shared" si="3"/>
        <v>5101</v>
      </c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5.75" customHeight="1">
      <c r="A430" s="118">
        <v>46252.0</v>
      </c>
      <c r="B430" s="119" t="s">
        <v>472</v>
      </c>
      <c r="C430" s="120" t="s">
        <v>473</v>
      </c>
      <c r="D430" s="121" t="s">
        <v>93</v>
      </c>
      <c r="E430" s="43" t="str">
        <f>IFERROR(VLOOKUP(D430,'Daftar Akun'!A$6:$B$103,2,FALSE),"")</f>
        <v>Pembelian Bunga</v>
      </c>
      <c r="F430" s="122">
        <v>34000.0</v>
      </c>
      <c r="G430" s="129"/>
      <c r="H430" s="34"/>
      <c r="I430" s="68">
        <f t="shared" si="1"/>
        <v>75</v>
      </c>
      <c r="J430" s="68" t="str">
        <f t="shared" si="2"/>
        <v>5101-75</v>
      </c>
      <c r="K430" s="71" t="str">
        <f>E431</f>
        <v>Kas</v>
      </c>
      <c r="L430" s="34" t="str">
        <f t="shared" si="3"/>
        <v>1101</v>
      </c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5.75" customHeight="1">
      <c r="A431" s="118">
        <v>46252.0</v>
      </c>
      <c r="B431" s="119" t="s">
        <v>472</v>
      </c>
      <c r="C431" s="120" t="s">
        <v>473</v>
      </c>
      <c r="D431" s="121" t="s">
        <v>18</v>
      </c>
      <c r="E431" s="43" t="str">
        <f>IFERROR(VLOOKUP(D431,'Daftar Akun'!A$6:$B$103,2,FALSE),"")</f>
        <v>Kas</v>
      </c>
      <c r="F431" s="129"/>
      <c r="G431" s="122">
        <v>34000.0</v>
      </c>
      <c r="H431" s="34"/>
      <c r="I431" s="68">
        <f t="shared" si="1"/>
        <v>75</v>
      </c>
      <c r="J431" s="68" t="str">
        <f t="shared" si="2"/>
        <v>1101-75</v>
      </c>
      <c r="K431" s="71" t="str">
        <f>E430</f>
        <v>Pembelian Bunga</v>
      </c>
      <c r="L431" s="34" t="str">
        <f t="shared" si="3"/>
        <v>5101</v>
      </c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5.75" customHeight="1">
      <c r="A432" s="118">
        <v>46252.0</v>
      </c>
      <c r="B432" s="119"/>
      <c r="C432" s="120" t="s">
        <v>474</v>
      </c>
      <c r="D432" s="121" t="s">
        <v>18</v>
      </c>
      <c r="E432" s="43" t="str">
        <f>IFERROR(VLOOKUP(D432,'Daftar Akun'!A$6:$B$103,2,FALSE),"")</f>
        <v>Kas</v>
      </c>
      <c r="F432" s="122">
        <v>205000.0</v>
      </c>
      <c r="G432" s="129"/>
      <c r="H432" s="34"/>
      <c r="I432" s="68">
        <f t="shared" si="1"/>
        <v>76</v>
      </c>
      <c r="J432" s="68" t="str">
        <f t="shared" si="2"/>
        <v>1101-76</v>
      </c>
      <c r="K432" s="71" t="str">
        <f>E433</f>
        <v>Prive</v>
      </c>
      <c r="L432" s="34" t="str">
        <f t="shared" si="3"/>
        <v>3102</v>
      </c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5.75" customHeight="1">
      <c r="A433" s="118">
        <v>46252.0</v>
      </c>
      <c r="B433" s="119"/>
      <c r="C433" s="120" t="s">
        <v>474</v>
      </c>
      <c r="D433" s="121" t="s">
        <v>77</v>
      </c>
      <c r="E433" s="43" t="str">
        <f>IFERROR(VLOOKUP(D433,'Daftar Akun'!A$6:$B$103,2,FALSE),"")</f>
        <v>Prive</v>
      </c>
      <c r="F433" s="129"/>
      <c r="G433" s="122">
        <v>205000.0</v>
      </c>
      <c r="H433" s="34"/>
      <c r="I433" s="68">
        <f t="shared" si="1"/>
        <v>6</v>
      </c>
      <c r="J433" s="68" t="str">
        <f t="shared" si="2"/>
        <v>3102-6</v>
      </c>
      <c r="K433" s="71" t="str">
        <f>E432</f>
        <v>Kas</v>
      </c>
      <c r="L433" s="34" t="str">
        <f t="shared" si="3"/>
        <v>1101</v>
      </c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5.75" customHeight="1">
      <c r="A434" s="118">
        <v>46252.0</v>
      </c>
      <c r="B434" s="119" t="s">
        <v>475</v>
      </c>
      <c r="C434" s="120" t="s">
        <v>327</v>
      </c>
      <c r="D434" s="121" t="s">
        <v>93</v>
      </c>
      <c r="E434" s="43" t="str">
        <f>IFERROR(VLOOKUP(D434,'Daftar Akun'!A$6:$B$103,2,FALSE),"")</f>
        <v>Pembelian Bunga</v>
      </c>
      <c r="F434" s="122">
        <v>144000.0</v>
      </c>
      <c r="G434" s="129"/>
      <c r="H434" s="34"/>
      <c r="I434" s="68">
        <f t="shared" si="1"/>
        <v>76</v>
      </c>
      <c r="J434" s="68" t="str">
        <f t="shared" si="2"/>
        <v>5101-76</v>
      </c>
      <c r="K434" s="71" t="str">
        <f>E435</f>
        <v>Hutang Dagang</v>
      </c>
      <c r="L434" s="34" t="str">
        <f t="shared" si="3"/>
        <v>2101</v>
      </c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5.75" customHeight="1">
      <c r="A435" s="118">
        <v>46252.0</v>
      </c>
      <c r="B435" s="119" t="s">
        <v>475</v>
      </c>
      <c r="C435" s="120" t="s">
        <v>327</v>
      </c>
      <c r="D435" s="121" t="s">
        <v>67</v>
      </c>
      <c r="E435" s="43" t="str">
        <f>IFERROR(VLOOKUP(D435,'Daftar Akun'!A$6:$B$103,2,FALSE),"")</f>
        <v>Hutang Dagang</v>
      </c>
      <c r="F435" s="129"/>
      <c r="G435" s="122">
        <v>144000.0</v>
      </c>
      <c r="H435" s="34"/>
      <c r="I435" s="68">
        <f t="shared" si="1"/>
        <v>15</v>
      </c>
      <c r="J435" s="68" t="str">
        <f t="shared" si="2"/>
        <v>2101-15</v>
      </c>
      <c r="K435" s="71" t="str">
        <f>E434</f>
        <v>Pembelian Bunga</v>
      </c>
      <c r="L435" s="34" t="str">
        <f t="shared" si="3"/>
        <v>5101</v>
      </c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5.75" customHeight="1">
      <c r="A436" s="118">
        <v>46252.0</v>
      </c>
      <c r="B436" s="119" t="s">
        <v>476</v>
      </c>
      <c r="C436" s="120" t="s">
        <v>157</v>
      </c>
      <c r="D436" s="121" t="s">
        <v>93</v>
      </c>
      <c r="E436" s="43" t="str">
        <f>IFERROR(VLOOKUP(D436,'Daftar Akun'!A$6:$B$103,2,FALSE),"")</f>
        <v>Pembelian Bunga</v>
      </c>
      <c r="F436" s="122">
        <v>165000.0</v>
      </c>
      <c r="G436" s="129"/>
      <c r="H436" s="34"/>
      <c r="I436" s="68">
        <f t="shared" si="1"/>
        <v>77</v>
      </c>
      <c r="J436" s="68" t="str">
        <f t="shared" si="2"/>
        <v>5101-77</v>
      </c>
      <c r="K436" s="71" t="str">
        <f>E437</f>
        <v>Bank</v>
      </c>
      <c r="L436" s="34" t="str">
        <f t="shared" si="3"/>
        <v>1102</v>
      </c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5.75" customHeight="1">
      <c r="A437" s="118">
        <v>46252.0</v>
      </c>
      <c r="B437" s="119" t="s">
        <v>476</v>
      </c>
      <c r="C437" s="120" t="s">
        <v>157</v>
      </c>
      <c r="D437" s="121" t="s">
        <v>33</v>
      </c>
      <c r="E437" s="43" t="str">
        <f>IFERROR(VLOOKUP(D437,'Daftar Akun'!A$6:$B$103,2,FALSE),"")</f>
        <v>Bank</v>
      </c>
      <c r="F437" s="129"/>
      <c r="G437" s="122">
        <v>165000.0</v>
      </c>
      <c r="H437" s="34"/>
      <c r="I437" s="68">
        <f t="shared" si="1"/>
        <v>92</v>
      </c>
      <c r="J437" s="68" t="str">
        <f t="shared" si="2"/>
        <v>1102-92</v>
      </c>
      <c r="K437" s="71" t="str">
        <f>E436</f>
        <v>Pembelian Bunga</v>
      </c>
      <c r="L437" s="34" t="str">
        <f t="shared" si="3"/>
        <v>5101</v>
      </c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5.75" customHeight="1">
      <c r="A438" s="118">
        <v>46252.0</v>
      </c>
      <c r="B438" s="131"/>
      <c r="C438" s="120" t="s">
        <v>477</v>
      </c>
      <c r="D438" s="121" t="s">
        <v>51</v>
      </c>
      <c r="E438" s="43" t="str">
        <f>IFERROR(VLOOKUP(D438,'Daftar Akun'!A$6:$B$103,2,FALSE),"")</f>
        <v>Piutang Ongkir</v>
      </c>
      <c r="F438" s="122">
        <v>400000.0</v>
      </c>
      <c r="G438" s="129"/>
      <c r="H438" s="34"/>
      <c r="I438" s="68">
        <f t="shared" si="1"/>
        <v>30</v>
      </c>
      <c r="J438" s="68" t="str">
        <f t="shared" si="2"/>
        <v>1107-30</v>
      </c>
      <c r="K438" s="71" t="str">
        <f>E439</f>
        <v>Kas</v>
      </c>
      <c r="L438" s="34" t="str">
        <f t="shared" si="3"/>
        <v>1101</v>
      </c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5.75" customHeight="1">
      <c r="A439" s="118">
        <v>46252.0</v>
      </c>
      <c r="B439" s="131"/>
      <c r="C439" s="120" t="s">
        <v>477</v>
      </c>
      <c r="D439" s="121" t="s">
        <v>18</v>
      </c>
      <c r="E439" s="43" t="str">
        <f>IFERROR(VLOOKUP(D439,'Daftar Akun'!A$6:$B$103,2,FALSE),"")</f>
        <v>Kas</v>
      </c>
      <c r="F439" s="129"/>
      <c r="G439" s="122">
        <v>400000.0</v>
      </c>
      <c r="H439" s="34"/>
      <c r="I439" s="68">
        <f t="shared" si="1"/>
        <v>77</v>
      </c>
      <c r="J439" s="68" t="str">
        <f t="shared" si="2"/>
        <v>1101-77</v>
      </c>
      <c r="K439" s="71" t="str">
        <f>E438</f>
        <v>Piutang Ongkir</v>
      </c>
      <c r="L439" s="34" t="str">
        <f t="shared" si="3"/>
        <v>1107</v>
      </c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5.75" customHeight="1">
      <c r="A440" s="118">
        <v>46252.0</v>
      </c>
      <c r="B440" s="131"/>
      <c r="C440" s="120" t="s">
        <v>478</v>
      </c>
      <c r="D440" s="121" t="s">
        <v>51</v>
      </c>
      <c r="E440" s="43" t="str">
        <f>IFERROR(VLOOKUP(D440,'Daftar Akun'!A$6:$B$103,2,FALSE),"")</f>
        <v>Piutang Ongkir</v>
      </c>
      <c r="F440" s="122">
        <v>70000.0</v>
      </c>
      <c r="G440" s="129"/>
      <c r="H440" s="34"/>
      <c r="I440" s="68">
        <f t="shared" si="1"/>
        <v>31</v>
      </c>
      <c r="J440" s="68" t="str">
        <f t="shared" si="2"/>
        <v>1107-31</v>
      </c>
      <c r="K440" s="71" t="str">
        <f>E441</f>
        <v>Kas</v>
      </c>
      <c r="L440" s="34" t="str">
        <f t="shared" si="3"/>
        <v>1101</v>
      </c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5.75" customHeight="1">
      <c r="A441" s="118">
        <v>46252.0</v>
      </c>
      <c r="B441" s="131"/>
      <c r="C441" s="120" t="s">
        <v>478</v>
      </c>
      <c r="D441" s="121" t="s">
        <v>18</v>
      </c>
      <c r="E441" s="43" t="str">
        <f>IFERROR(VLOOKUP(D441,'Daftar Akun'!A$6:$B$103,2,FALSE),"")</f>
        <v>Kas</v>
      </c>
      <c r="F441" s="129"/>
      <c r="G441" s="122">
        <v>70000.0</v>
      </c>
      <c r="H441" s="34"/>
      <c r="I441" s="68">
        <f t="shared" si="1"/>
        <v>78</v>
      </c>
      <c r="J441" s="68" t="str">
        <f t="shared" si="2"/>
        <v>1101-78</v>
      </c>
      <c r="K441" s="71" t="str">
        <f>E440</f>
        <v>Piutang Ongkir</v>
      </c>
      <c r="L441" s="34" t="str">
        <f t="shared" si="3"/>
        <v>1107</v>
      </c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5.75" customHeight="1">
      <c r="A442" s="118">
        <v>46252.0</v>
      </c>
      <c r="B442" s="119" t="s">
        <v>479</v>
      </c>
      <c r="C442" s="120" t="s">
        <v>480</v>
      </c>
      <c r="D442" s="121" t="s">
        <v>121</v>
      </c>
      <c r="E442" s="43" t="str">
        <f>IFERROR(VLOOKUP(D442,'Daftar Akun'!A$6:$B$103,2,FALSE),"")</f>
        <v>Beban Lain-Lain</v>
      </c>
      <c r="F442" s="122">
        <v>250000.0</v>
      </c>
      <c r="G442" s="129"/>
      <c r="H442" s="34"/>
      <c r="I442" s="68">
        <f t="shared" si="1"/>
        <v>15</v>
      </c>
      <c r="J442" s="68" t="str">
        <f t="shared" si="2"/>
        <v>6108-15</v>
      </c>
      <c r="K442" s="71" t="str">
        <f>E443</f>
        <v>Kas</v>
      </c>
      <c r="L442" s="34" t="str">
        <f t="shared" si="3"/>
        <v>1101</v>
      </c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5.75" customHeight="1">
      <c r="A443" s="118">
        <v>46252.0</v>
      </c>
      <c r="B443" s="119" t="s">
        <v>479</v>
      </c>
      <c r="C443" s="120" t="s">
        <v>480</v>
      </c>
      <c r="D443" s="121" t="s">
        <v>18</v>
      </c>
      <c r="E443" s="43" t="str">
        <f>IFERROR(VLOOKUP(D443,'Daftar Akun'!A$6:$B$103,2,FALSE),"")</f>
        <v>Kas</v>
      </c>
      <c r="F443" s="129"/>
      <c r="G443" s="122">
        <v>250000.0</v>
      </c>
      <c r="H443" s="34"/>
      <c r="I443" s="68">
        <f t="shared" si="1"/>
        <v>79</v>
      </c>
      <c r="J443" s="68" t="str">
        <f t="shared" si="2"/>
        <v>1101-79</v>
      </c>
      <c r="K443" s="71" t="str">
        <f>E442</f>
        <v>Beban Lain-Lain</v>
      </c>
      <c r="L443" s="34" t="str">
        <f t="shared" si="3"/>
        <v>6108</v>
      </c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5.75" customHeight="1">
      <c r="A444" s="118">
        <v>46252.0</v>
      </c>
      <c r="B444" s="131"/>
      <c r="C444" s="120" t="s">
        <v>481</v>
      </c>
      <c r="D444" s="121" t="s">
        <v>51</v>
      </c>
      <c r="E444" s="43" t="str">
        <f>IFERROR(VLOOKUP(D444,'Daftar Akun'!A$6:$B$103,2,FALSE),"")</f>
        <v>Piutang Ongkir</v>
      </c>
      <c r="F444" s="122">
        <v>596490.0</v>
      </c>
      <c r="G444" s="129"/>
      <c r="H444" s="34"/>
      <c r="I444" s="68">
        <f t="shared" si="1"/>
        <v>32</v>
      </c>
      <c r="J444" s="68" t="str">
        <f t="shared" si="2"/>
        <v>1107-32</v>
      </c>
      <c r="K444" s="71" t="str">
        <f>E445</f>
        <v>Bank</v>
      </c>
      <c r="L444" s="34" t="str">
        <f t="shared" si="3"/>
        <v>1102</v>
      </c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5.75" customHeight="1">
      <c r="A445" s="118">
        <v>46252.0</v>
      </c>
      <c r="B445" s="131"/>
      <c r="C445" s="120" t="s">
        <v>481</v>
      </c>
      <c r="D445" s="121" t="s">
        <v>33</v>
      </c>
      <c r="E445" s="43" t="str">
        <f>IFERROR(VLOOKUP(D445,'Daftar Akun'!A$6:$B$103,2,FALSE),"")</f>
        <v>Bank</v>
      </c>
      <c r="F445" s="129"/>
      <c r="G445" s="122">
        <v>596490.0</v>
      </c>
      <c r="H445" s="34"/>
      <c r="I445" s="68">
        <f t="shared" si="1"/>
        <v>93</v>
      </c>
      <c r="J445" s="68" t="str">
        <f t="shared" si="2"/>
        <v>1102-93</v>
      </c>
      <c r="K445" s="71" t="str">
        <f>E444</f>
        <v>Piutang Ongkir</v>
      </c>
      <c r="L445" s="34" t="str">
        <f t="shared" si="3"/>
        <v>1107</v>
      </c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5.75" customHeight="1">
      <c r="A446" s="118">
        <v>46252.0</v>
      </c>
      <c r="B446" s="131"/>
      <c r="C446" s="120" t="s">
        <v>324</v>
      </c>
      <c r="D446" s="121" t="s">
        <v>93</v>
      </c>
      <c r="E446" s="43" t="str">
        <f>IFERROR(VLOOKUP(D446,'Daftar Akun'!A$6:$B$103,2,FALSE),"")</f>
        <v>Pembelian Bunga</v>
      </c>
      <c r="F446" s="122">
        <v>105000.0</v>
      </c>
      <c r="G446" s="129"/>
      <c r="H446" s="34"/>
      <c r="I446" s="68">
        <f t="shared" si="1"/>
        <v>78</v>
      </c>
      <c r="J446" s="68" t="str">
        <f t="shared" si="2"/>
        <v>5101-78</v>
      </c>
      <c r="K446" s="71" t="str">
        <f>E447</f>
        <v>Bank</v>
      </c>
      <c r="L446" s="34" t="str">
        <f t="shared" si="3"/>
        <v>1102</v>
      </c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5.75" customHeight="1">
      <c r="A447" s="118">
        <v>46252.0</v>
      </c>
      <c r="B447" s="131"/>
      <c r="C447" s="120" t="s">
        <v>324</v>
      </c>
      <c r="D447" s="121" t="s">
        <v>33</v>
      </c>
      <c r="E447" s="43" t="str">
        <f>IFERROR(VLOOKUP(D447,'Daftar Akun'!A$6:$B$103,2,FALSE),"")</f>
        <v>Bank</v>
      </c>
      <c r="F447" s="129"/>
      <c r="G447" s="122">
        <v>105000.0</v>
      </c>
      <c r="H447" s="34"/>
      <c r="I447" s="68">
        <f t="shared" si="1"/>
        <v>94</v>
      </c>
      <c r="J447" s="68" t="str">
        <f t="shared" si="2"/>
        <v>1102-94</v>
      </c>
      <c r="K447" s="71" t="str">
        <f>E446</f>
        <v>Pembelian Bunga</v>
      </c>
      <c r="L447" s="34" t="str">
        <f t="shared" si="3"/>
        <v>5101</v>
      </c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5.75" customHeight="1">
      <c r="A448" s="118">
        <v>46252.0</v>
      </c>
      <c r="B448" s="131"/>
      <c r="C448" s="120" t="s">
        <v>235</v>
      </c>
      <c r="D448" s="121" t="s">
        <v>93</v>
      </c>
      <c r="E448" s="43" t="str">
        <f>IFERROR(VLOOKUP(D448,'Daftar Akun'!A$6:$B$103,2,FALSE),"")</f>
        <v>Pembelian Bunga</v>
      </c>
      <c r="F448" s="122">
        <v>65000.0</v>
      </c>
      <c r="G448" s="129"/>
      <c r="H448" s="34"/>
      <c r="I448" s="68">
        <f t="shared" si="1"/>
        <v>79</v>
      </c>
      <c r="J448" s="68" t="str">
        <f t="shared" si="2"/>
        <v>5101-79</v>
      </c>
      <c r="K448" s="71" t="str">
        <f>E449</f>
        <v>Bank</v>
      </c>
      <c r="L448" s="34" t="str">
        <f t="shared" si="3"/>
        <v>1102</v>
      </c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5.75" customHeight="1">
      <c r="A449" s="118">
        <v>46252.0</v>
      </c>
      <c r="B449" s="131"/>
      <c r="C449" s="120" t="s">
        <v>235</v>
      </c>
      <c r="D449" s="121" t="s">
        <v>33</v>
      </c>
      <c r="E449" s="43" t="str">
        <f>IFERROR(VLOOKUP(D449,'Daftar Akun'!A$6:$B$103,2,FALSE),"")</f>
        <v>Bank</v>
      </c>
      <c r="F449" s="129"/>
      <c r="G449" s="122">
        <v>65000.0</v>
      </c>
      <c r="H449" s="34"/>
      <c r="I449" s="68">
        <f t="shared" si="1"/>
        <v>95</v>
      </c>
      <c r="J449" s="68" t="str">
        <f t="shared" si="2"/>
        <v>1102-95</v>
      </c>
      <c r="K449" s="71" t="str">
        <f>E448</f>
        <v>Pembelian Bunga</v>
      </c>
      <c r="L449" s="34" t="str">
        <f t="shared" si="3"/>
        <v>5101</v>
      </c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5.75" customHeight="1">
      <c r="A450" s="118">
        <v>46252.0</v>
      </c>
      <c r="B450" s="131"/>
      <c r="C450" s="120" t="s">
        <v>402</v>
      </c>
      <c r="D450" s="121" t="s">
        <v>36</v>
      </c>
      <c r="E450" s="43" t="str">
        <f>IFERROR(VLOOKUP(D450,'Daftar Akun'!A$6:$B$103,2,FALSE),"")</f>
        <v>Piutang Dagang</v>
      </c>
      <c r="F450" s="122">
        <v>160000.0</v>
      </c>
      <c r="G450" s="129"/>
      <c r="H450" s="34"/>
      <c r="I450" s="68">
        <f t="shared" si="1"/>
        <v>53</v>
      </c>
      <c r="J450" s="68" t="str">
        <f t="shared" si="2"/>
        <v>1103-53</v>
      </c>
      <c r="K450" s="71" t="str">
        <f>E451</f>
        <v>Penjualan</v>
      </c>
      <c r="L450" s="34" t="str">
        <f t="shared" si="3"/>
        <v>4101</v>
      </c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5.75" customHeight="1">
      <c r="A451" s="118">
        <v>46252.0</v>
      </c>
      <c r="B451" s="131"/>
      <c r="C451" s="120" t="s">
        <v>402</v>
      </c>
      <c r="D451" s="121" t="s">
        <v>80</v>
      </c>
      <c r="E451" s="43" t="str">
        <f>IFERROR(VLOOKUP(D451,'Daftar Akun'!A$6:$B$103,2,FALSE),"")</f>
        <v>Penjualan</v>
      </c>
      <c r="F451" s="129"/>
      <c r="G451" s="122">
        <v>160000.0</v>
      </c>
      <c r="H451" s="34"/>
      <c r="I451" s="68">
        <f t="shared" si="1"/>
        <v>52</v>
      </c>
      <c r="J451" s="68" t="str">
        <f t="shared" si="2"/>
        <v>4101-52</v>
      </c>
      <c r="K451" s="71" t="str">
        <f>E450</f>
        <v>Piutang Dagang</v>
      </c>
      <c r="L451" s="34" t="str">
        <f t="shared" si="3"/>
        <v>1103</v>
      </c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5.75" customHeight="1">
      <c r="A452" s="118">
        <v>46252.0</v>
      </c>
      <c r="B452" s="131"/>
      <c r="C452" s="120" t="s">
        <v>485</v>
      </c>
      <c r="D452" s="121" t="s">
        <v>36</v>
      </c>
      <c r="E452" s="43" t="str">
        <f>IFERROR(VLOOKUP(D452,'Daftar Akun'!A$6:$B$103,2,FALSE),"")</f>
        <v>Piutang Dagang</v>
      </c>
      <c r="F452" s="122">
        <v>735000.0</v>
      </c>
      <c r="G452" s="129"/>
      <c r="H452" s="34"/>
      <c r="I452" s="68">
        <f t="shared" si="1"/>
        <v>54</v>
      </c>
      <c r="J452" s="68" t="str">
        <f t="shared" si="2"/>
        <v>1103-54</v>
      </c>
      <c r="K452" s="71" t="str">
        <f>E453</f>
        <v>Penjualan</v>
      </c>
      <c r="L452" s="34" t="str">
        <f t="shared" si="3"/>
        <v>4101</v>
      </c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5.75" customHeight="1">
      <c r="A453" s="118">
        <v>46252.0</v>
      </c>
      <c r="B453" s="131"/>
      <c r="C453" s="120" t="s">
        <v>485</v>
      </c>
      <c r="D453" s="121" t="s">
        <v>80</v>
      </c>
      <c r="E453" s="43" t="str">
        <f>IFERROR(VLOOKUP(D453,'Daftar Akun'!A$6:$B$103,2,FALSE),"")</f>
        <v>Penjualan</v>
      </c>
      <c r="F453" s="129"/>
      <c r="G453" s="122">
        <v>735000.0</v>
      </c>
      <c r="H453" s="34"/>
      <c r="I453" s="68">
        <f t="shared" si="1"/>
        <v>53</v>
      </c>
      <c r="J453" s="68" t="str">
        <f t="shared" si="2"/>
        <v>4101-53</v>
      </c>
      <c r="K453" s="71" t="str">
        <f>E452</f>
        <v>Piutang Dagang</v>
      </c>
      <c r="L453" s="34" t="str">
        <f t="shared" si="3"/>
        <v>1103</v>
      </c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5.75" customHeight="1">
      <c r="A454" s="118">
        <v>46252.0</v>
      </c>
      <c r="B454" s="131"/>
      <c r="C454" s="120" t="s">
        <v>262</v>
      </c>
      <c r="D454" s="121" t="s">
        <v>36</v>
      </c>
      <c r="E454" s="43" t="str">
        <f>IFERROR(VLOOKUP(D454,'Daftar Akun'!A$6:$B$103,2,FALSE),"")</f>
        <v>Piutang Dagang</v>
      </c>
      <c r="F454" s="122">
        <v>682250.0</v>
      </c>
      <c r="G454" s="129"/>
      <c r="H454" s="34"/>
      <c r="I454" s="68">
        <f t="shared" si="1"/>
        <v>55</v>
      </c>
      <c r="J454" s="68" t="str">
        <f t="shared" si="2"/>
        <v>1103-55</v>
      </c>
      <c r="K454" s="71" t="str">
        <f>E455</f>
        <v>Penjualan</v>
      </c>
      <c r="L454" s="34" t="str">
        <f t="shared" si="3"/>
        <v>4101</v>
      </c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5.75" customHeight="1">
      <c r="A455" s="118">
        <v>46252.0</v>
      </c>
      <c r="B455" s="131"/>
      <c r="C455" s="120" t="s">
        <v>262</v>
      </c>
      <c r="D455" s="121" t="s">
        <v>80</v>
      </c>
      <c r="E455" s="43" t="str">
        <f>IFERROR(VLOOKUP(D455,'Daftar Akun'!A$6:$B$103,2,FALSE),"")</f>
        <v>Penjualan</v>
      </c>
      <c r="F455" s="129"/>
      <c r="G455" s="122">
        <v>682250.0</v>
      </c>
      <c r="H455" s="34"/>
      <c r="I455" s="68">
        <f t="shared" si="1"/>
        <v>54</v>
      </c>
      <c r="J455" s="68" t="str">
        <f t="shared" si="2"/>
        <v>4101-54</v>
      </c>
      <c r="K455" s="71" t="str">
        <f>E454</f>
        <v>Piutang Dagang</v>
      </c>
      <c r="L455" s="34" t="str">
        <f t="shared" si="3"/>
        <v>1103</v>
      </c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5.75" customHeight="1">
      <c r="A456" s="118">
        <v>46252.0</v>
      </c>
      <c r="B456" s="131"/>
      <c r="C456" s="120" t="s">
        <v>242</v>
      </c>
      <c r="D456" s="121" t="s">
        <v>36</v>
      </c>
      <c r="E456" s="43" t="str">
        <f>IFERROR(VLOOKUP(D456,'Daftar Akun'!A$6:$B$103,2,FALSE),"")</f>
        <v>Piutang Dagang</v>
      </c>
      <c r="F456" s="122">
        <v>986250.0</v>
      </c>
      <c r="G456" s="129"/>
      <c r="H456" s="34"/>
      <c r="I456" s="68">
        <f t="shared" si="1"/>
        <v>56</v>
      </c>
      <c r="J456" s="68" t="str">
        <f t="shared" si="2"/>
        <v>1103-56</v>
      </c>
      <c r="K456" s="71" t="str">
        <f>E457</f>
        <v>Penjualan</v>
      </c>
      <c r="L456" s="34" t="str">
        <f t="shared" si="3"/>
        <v>4101</v>
      </c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5.75" customHeight="1">
      <c r="A457" s="118">
        <v>46252.0</v>
      </c>
      <c r="B457" s="131"/>
      <c r="C457" s="120" t="s">
        <v>242</v>
      </c>
      <c r="D457" s="121" t="s">
        <v>80</v>
      </c>
      <c r="E457" s="43" t="str">
        <f>IFERROR(VLOOKUP(D457,'Daftar Akun'!A$6:$B$103,2,FALSE),"")</f>
        <v>Penjualan</v>
      </c>
      <c r="F457" s="129"/>
      <c r="G457" s="122">
        <v>986250.0</v>
      </c>
      <c r="H457" s="34"/>
      <c r="I457" s="68">
        <f t="shared" si="1"/>
        <v>55</v>
      </c>
      <c r="J457" s="68" t="str">
        <f t="shared" si="2"/>
        <v>4101-55</v>
      </c>
      <c r="K457" s="71" t="str">
        <f>E456</f>
        <v>Piutang Dagang</v>
      </c>
      <c r="L457" s="34" t="str">
        <f t="shared" si="3"/>
        <v>1103</v>
      </c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5.75" customHeight="1">
      <c r="A458" s="118">
        <v>46252.0</v>
      </c>
      <c r="B458" s="131"/>
      <c r="C458" s="120" t="s">
        <v>488</v>
      </c>
      <c r="D458" s="121" t="s">
        <v>33</v>
      </c>
      <c r="E458" s="43" t="str">
        <f>IFERROR(VLOOKUP(D458,'Daftar Akun'!A$6:$B$103,2,FALSE),"")</f>
        <v>Bank</v>
      </c>
      <c r="F458" s="122">
        <v>700000.0</v>
      </c>
      <c r="G458" s="129"/>
      <c r="H458" s="34"/>
      <c r="I458" s="68">
        <f t="shared" si="1"/>
        <v>96</v>
      </c>
      <c r="J458" s="68" t="str">
        <f t="shared" si="2"/>
        <v>1102-96</v>
      </c>
      <c r="K458" s="71" t="str">
        <f>E459</f>
        <v>Piutang Dagang</v>
      </c>
      <c r="L458" s="34" t="str">
        <f t="shared" si="3"/>
        <v>1103</v>
      </c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5.75" customHeight="1">
      <c r="A459" s="118">
        <v>46252.0</v>
      </c>
      <c r="B459" s="131"/>
      <c r="C459" s="120" t="s">
        <v>488</v>
      </c>
      <c r="D459" s="121" t="s">
        <v>36</v>
      </c>
      <c r="E459" s="43" t="str">
        <f>IFERROR(VLOOKUP(D459,'Daftar Akun'!A$6:$B$103,2,FALSE),"")</f>
        <v>Piutang Dagang</v>
      </c>
      <c r="F459" s="129"/>
      <c r="G459" s="122">
        <v>700000.0</v>
      </c>
      <c r="H459" s="34"/>
      <c r="I459" s="68">
        <f t="shared" si="1"/>
        <v>57</v>
      </c>
      <c r="J459" s="68" t="str">
        <f t="shared" si="2"/>
        <v>1103-57</v>
      </c>
      <c r="K459" s="71" t="str">
        <f>E458</f>
        <v>Bank</v>
      </c>
      <c r="L459" s="34" t="str">
        <f t="shared" si="3"/>
        <v>1102</v>
      </c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5.75" customHeight="1">
      <c r="A460" s="118">
        <v>46252.0</v>
      </c>
      <c r="B460" s="131"/>
      <c r="C460" s="120" t="s">
        <v>489</v>
      </c>
      <c r="D460" s="121" t="s">
        <v>33</v>
      </c>
      <c r="E460" s="43" t="str">
        <f>IFERROR(VLOOKUP(D460,'Daftar Akun'!A$6:$B$103,2,FALSE),"")</f>
        <v>Bank</v>
      </c>
      <c r="F460" s="122">
        <v>1066490.0</v>
      </c>
      <c r="G460" s="129"/>
      <c r="H460" s="34"/>
      <c r="I460" s="68">
        <f t="shared" si="1"/>
        <v>97</v>
      </c>
      <c r="J460" s="68" t="str">
        <f t="shared" si="2"/>
        <v>1102-97</v>
      </c>
      <c r="K460" s="71" t="str">
        <f>E461</f>
        <v>Piutang Ongkir</v>
      </c>
      <c r="L460" s="34" t="str">
        <f t="shared" si="3"/>
        <v>1107</v>
      </c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5.75" customHeight="1">
      <c r="A461" s="118">
        <v>46252.0</v>
      </c>
      <c r="B461" s="131"/>
      <c r="C461" s="120" t="s">
        <v>489</v>
      </c>
      <c r="D461" s="121" t="s">
        <v>51</v>
      </c>
      <c r="E461" s="43" t="str">
        <f>IFERROR(VLOOKUP(D461,'Daftar Akun'!A$6:$B$103,2,FALSE),"")</f>
        <v>Piutang Ongkir</v>
      </c>
      <c r="F461" s="129"/>
      <c r="G461" s="122">
        <v>1066490.0</v>
      </c>
      <c r="H461" s="34"/>
      <c r="I461" s="68">
        <f t="shared" si="1"/>
        <v>33</v>
      </c>
      <c r="J461" s="68" t="str">
        <f t="shared" si="2"/>
        <v>1107-33</v>
      </c>
      <c r="K461" s="71" t="str">
        <f>E460</f>
        <v>Bank</v>
      </c>
      <c r="L461" s="34" t="str">
        <f t="shared" si="3"/>
        <v>1102</v>
      </c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5.75" customHeight="1">
      <c r="A462" s="118">
        <v>46253.0</v>
      </c>
      <c r="B462" s="131"/>
      <c r="C462" s="120" t="s">
        <v>160</v>
      </c>
      <c r="D462" s="121" t="s">
        <v>18</v>
      </c>
      <c r="E462" s="43" t="str">
        <f>IFERROR(VLOOKUP(D462,'Daftar Akun'!A$6:$B$103,2,FALSE),"")</f>
        <v>Kas</v>
      </c>
      <c r="F462" s="122">
        <v>1000000.0</v>
      </c>
      <c r="G462" s="129"/>
      <c r="H462" s="34"/>
      <c r="I462" s="68">
        <f t="shared" si="1"/>
        <v>80</v>
      </c>
      <c r="J462" s="68" t="str">
        <f t="shared" si="2"/>
        <v>1101-80</v>
      </c>
      <c r="K462" s="71" t="str">
        <f>E463</f>
        <v>Bank</v>
      </c>
      <c r="L462" s="34" t="str">
        <f t="shared" si="3"/>
        <v>1102</v>
      </c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5.75" customHeight="1">
      <c r="A463" s="118">
        <v>46253.0</v>
      </c>
      <c r="B463" s="131"/>
      <c r="C463" s="120" t="s">
        <v>490</v>
      </c>
      <c r="D463" s="121" t="s">
        <v>33</v>
      </c>
      <c r="E463" s="43" t="str">
        <f>IFERROR(VLOOKUP(D463,'Daftar Akun'!A$6:$B$103,2,FALSE),"")</f>
        <v>Bank</v>
      </c>
      <c r="F463" s="129"/>
      <c r="G463" s="122">
        <v>1000000.0</v>
      </c>
      <c r="H463" s="34"/>
      <c r="I463" s="68">
        <f t="shared" si="1"/>
        <v>98</v>
      </c>
      <c r="J463" s="68" t="str">
        <f t="shared" si="2"/>
        <v>1102-98</v>
      </c>
      <c r="K463" s="71" t="str">
        <f>E462</f>
        <v>Kas</v>
      </c>
      <c r="L463" s="34" t="str">
        <f t="shared" si="3"/>
        <v>1101</v>
      </c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5.75" customHeight="1">
      <c r="A464" s="118">
        <v>46253.0</v>
      </c>
      <c r="B464" s="119" t="s">
        <v>491</v>
      </c>
      <c r="C464" s="120" t="s">
        <v>492</v>
      </c>
      <c r="D464" s="121" t="s">
        <v>93</v>
      </c>
      <c r="E464" s="43" t="str">
        <f>IFERROR(VLOOKUP(D464,'Daftar Akun'!A$6:$B$103,2,FALSE),"")</f>
        <v>Pembelian Bunga</v>
      </c>
      <c r="F464" s="122">
        <v>30000.0</v>
      </c>
      <c r="G464" s="129"/>
      <c r="H464" s="34"/>
      <c r="I464" s="68">
        <f t="shared" si="1"/>
        <v>80</v>
      </c>
      <c r="J464" s="68" t="str">
        <f t="shared" si="2"/>
        <v>5101-80</v>
      </c>
      <c r="K464" s="71" t="str">
        <f>E465</f>
        <v>Kas</v>
      </c>
      <c r="L464" s="34" t="str">
        <f t="shared" si="3"/>
        <v>1101</v>
      </c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5.75" customHeight="1">
      <c r="A465" s="118">
        <v>46253.0</v>
      </c>
      <c r="B465" s="119" t="s">
        <v>491</v>
      </c>
      <c r="C465" s="120" t="s">
        <v>492</v>
      </c>
      <c r="D465" s="121" t="s">
        <v>18</v>
      </c>
      <c r="E465" s="43" t="str">
        <f>IFERROR(VLOOKUP(D465,'Daftar Akun'!A$6:$B$103,2,FALSE),"")</f>
        <v>Kas</v>
      </c>
      <c r="F465" s="129"/>
      <c r="G465" s="122">
        <v>30000.0</v>
      </c>
      <c r="H465" s="34"/>
      <c r="I465" s="68">
        <f t="shared" si="1"/>
        <v>81</v>
      </c>
      <c r="J465" s="68" t="str">
        <f t="shared" si="2"/>
        <v>1101-81</v>
      </c>
      <c r="K465" s="71" t="str">
        <f>E464</f>
        <v>Pembelian Bunga</v>
      </c>
      <c r="L465" s="34" t="str">
        <f t="shared" si="3"/>
        <v>5101</v>
      </c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5.75" customHeight="1">
      <c r="A466" s="118">
        <v>46253.0</v>
      </c>
      <c r="B466" s="119" t="s">
        <v>493</v>
      </c>
      <c r="C466" s="120" t="s">
        <v>494</v>
      </c>
      <c r="D466" s="121" t="s">
        <v>93</v>
      </c>
      <c r="E466" s="43" t="str">
        <f>IFERROR(VLOOKUP(D466,'Daftar Akun'!A$6:$B$103,2,FALSE),"")</f>
        <v>Pembelian Bunga</v>
      </c>
      <c r="F466" s="122">
        <v>597000.0</v>
      </c>
      <c r="G466" s="129"/>
      <c r="H466" s="34"/>
      <c r="I466" s="68">
        <f t="shared" si="1"/>
        <v>81</v>
      </c>
      <c r="J466" s="68" t="str">
        <f t="shared" si="2"/>
        <v>5101-81</v>
      </c>
      <c r="K466" s="71" t="str">
        <f>E467</f>
        <v>Hutang Dagang</v>
      </c>
      <c r="L466" s="34" t="str">
        <f t="shared" si="3"/>
        <v>2101</v>
      </c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5.75" customHeight="1">
      <c r="A467" s="118">
        <v>46253.0</v>
      </c>
      <c r="B467" s="119" t="s">
        <v>493</v>
      </c>
      <c r="C467" s="120" t="s">
        <v>494</v>
      </c>
      <c r="D467" s="121" t="s">
        <v>67</v>
      </c>
      <c r="E467" s="43" t="str">
        <f>IFERROR(VLOOKUP(D467,'Daftar Akun'!A$6:$B$103,2,FALSE),"")</f>
        <v>Hutang Dagang</v>
      </c>
      <c r="F467" s="129"/>
      <c r="G467" s="122">
        <v>597000.0</v>
      </c>
      <c r="H467" s="34"/>
      <c r="I467" s="68">
        <f t="shared" si="1"/>
        <v>16</v>
      </c>
      <c r="J467" s="68" t="str">
        <f t="shared" si="2"/>
        <v>2101-16</v>
      </c>
      <c r="K467" s="71" t="str">
        <f>E466</f>
        <v>Pembelian Bunga</v>
      </c>
      <c r="L467" s="34" t="str">
        <f t="shared" si="3"/>
        <v>5101</v>
      </c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5.75" customHeight="1">
      <c r="A468" s="118">
        <v>46253.0</v>
      </c>
      <c r="B468" s="131"/>
      <c r="C468" s="120" t="s">
        <v>495</v>
      </c>
      <c r="D468" s="121" t="s">
        <v>51</v>
      </c>
      <c r="E468" s="43" t="str">
        <f>IFERROR(VLOOKUP(D468,'Daftar Akun'!A$6:$B$103,2,FALSE),"")</f>
        <v>Piutang Ongkir</v>
      </c>
      <c r="F468" s="122">
        <v>1859000.0</v>
      </c>
      <c r="G468" s="129"/>
      <c r="H468" s="34"/>
      <c r="I468" s="68">
        <f t="shared" si="1"/>
        <v>34</v>
      </c>
      <c r="J468" s="68" t="str">
        <f t="shared" si="2"/>
        <v>1107-34</v>
      </c>
      <c r="K468" s="71" t="str">
        <f>E469</f>
        <v>Bank</v>
      </c>
      <c r="L468" s="34" t="str">
        <f t="shared" si="3"/>
        <v>1102</v>
      </c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5.75" customHeight="1">
      <c r="A469" s="118">
        <v>46253.0</v>
      </c>
      <c r="B469" s="131"/>
      <c r="C469" s="120" t="s">
        <v>495</v>
      </c>
      <c r="D469" s="121" t="s">
        <v>33</v>
      </c>
      <c r="E469" s="43" t="str">
        <f>IFERROR(VLOOKUP(D469,'Daftar Akun'!A$6:$B$103,2,FALSE),"")</f>
        <v>Bank</v>
      </c>
      <c r="F469" s="129"/>
      <c r="G469" s="122">
        <v>1859000.0</v>
      </c>
      <c r="H469" s="34"/>
      <c r="I469" s="68">
        <f t="shared" si="1"/>
        <v>99</v>
      </c>
      <c r="J469" s="68" t="str">
        <f t="shared" si="2"/>
        <v>1102-99</v>
      </c>
      <c r="K469" s="71" t="str">
        <f>E468</f>
        <v>Piutang Ongkir</v>
      </c>
      <c r="L469" s="34" t="str">
        <f t="shared" si="3"/>
        <v>1107</v>
      </c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5.75" customHeight="1">
      <c r="A470" s="118">
        <v>46253.0</v>
      </c>
      <c r="B470" s="131"/>
      <c r="C470" s="120" t="s">
        <v>496</v>
      </c>
      <c r="D470" s="121" t="s">
        <v>33</v>
      </c>
      <c r="E470" s="43" t="str">
        <f>IFERROR(VLOOKUP(D470,'Daftar Akun'!A$6:$B$103,2,FALSE),"")</f>
        <v>Bank</v>
      </c>
      <c r="F470" s="122">
        <v>2563500.0</v>
      </c>
      <c r="G470" s="129"/>
      <c r="H470" s="34"/>
      <c r="I470" s="68">
        <f t="shared" si="1"/>
        <v>100</v>
      </c>
      <c r="J470" s="68" t="str">
        <f t="shared" si="2"/>
        <v>1102-100</v>
      </c>
      <c r="K470" s="71" t="str">
        <f>E471</f>
        <v>Piutang Dagang</v>
      </c>
      <c r="L470" s="34" t="str">
        <f t="shared" si="3"/>
        <v>1103</v>
      </c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5.75" customHeight="1">
      <c r="A471" s="118">
        <v>46253.0</v>
      </c>
      <c r="B471" s="131"/>
      <c r="C471" s="120" t="s">
        <v>496</v>
      </c>
      <c r="D471" s="121" t="s">
        <v>36</v>
      </c>
      <c r="E471" s="43" t="str">
        <f>IFERROR(VLOOKUP(D471,'Daftar Akun'!A$6:$B$103,2,FALSE),"")</f>
        <v>Piutang Dagang</v>
      </c>
      <c r="F471" s="129"/>
      <c r="G471" s="122">
        <v>2563500.0</v>
      </c>
      <c r="H471" s="34"/>
      <c r="I471" s="68">
        <f t="shared" si="1"/>
        <v>58</v>
      </c>
      <c r="J471" s="68" t="str">
        <f t="shared" si="2"/>
        <v>1103-58</v>
      </c>
      <c r="K471" s="71" t="str">
        <f>E470</f>
        <v>Bank</v>
      </c>
      <c r="L471" s="34" t="str">
        <f t="shared" si="3"/>
        <v>1102</v>
      </c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5.75" customHeight="1">
      <c r="A472" s="118">
        <v>46253.0</v>
      </c>
      <c r="B472" s="131"/>
      <c r="C472" s="120" t="s">
        <v>497</v>
      </c>
      <c r="D472" s="121" t="s">
        <v>33</v>
      </c>
      <c r="E472" s="43" t="str">
        <f>IFERROR(VLOOKUP(D472,'Daftar Akun'!A$6:$B$103,2,FALSE),"")</f>
        <v>Bank</v>
      </c>
      <c r="F472" s="122">
        <v>1859000.0</v>
      </c>
      <c r="G472" s="129"/>
      <c r="H472" s="34"/>
      <c r="I472" s="68">
        <f t="shared" si="1"/>
        <v>101</v>
      </c>
      <c r="J472" s="68" t="str">
        <f t="shared" si="2"/>
        <v>1102-101</v>
      </c>
      <c r="K472" s="71" t="str">
        <f>E473</f>
        <v>Piutang Ongkir</v>
      </c>
      <c r="L472" s="34" t="str">
        <f t="shared" si="3"/>
        <v>1107</v>
      </c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5.75" customHeight="1">
      <c r="A473" s="118">
        <v>46253.0</v>
      </c>
      <c r="B473" s="131"/>
      <c r="C473" s="120" t="s">
        <v>497</v>
      </c>
      <c r="D473" s="121" t="s">
        <v>51</v>
      </c>
      <c r="E473" s="43" t="str">
        <f>IFERROR(VLOOKUP(D473,'Daftar Akun'!A$6:$B$103,2,FALSE),"")</f>
        <v>Piutang Ongkir</v>
      </c>
      <c r="F473" s="129"/>
      <c r="G473" s="122">
        <v>1859000.0</v>
      </c>
      <c r="H473" s="34"/>
      <c r="I473" s="68">
        <f t="shared" si="1"/>
        <v>35</v>
      </c>
      <c r="J473" s="68" t="str">
        <f t="shared" si="2"/>
        <v>1107-35</v>
      </c>
      <c r="K473" s="71" t="str">
        <f>E472</f>
        <v>Bank</v>
      </c>
      <c r="L473" s="34" t="str">
        <f t="shared" si="3"/>
        <v>1102</v>
      </c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5.75" customHeight="1">
      <c r="A474" s="118">
        <v>46254.0</v>
      </c>
      <c r="B474" s="131"/>
      <c r="C474" s="120" t="s">
        <v>498</v>
      </c>
      <c r="D474" s="121" t="s">
        <v>121</v>
      </c>
      <c r="E474" s="43" t="str">
        <f>IFERROR(VLOOKUP(D474,'Daftar Akun'!A$6:$B$103,2,FALSE),"")</f>
        <v>Beban Lain-Lain</v>
      </c>
      <c r="F474" s="122">
        <v>1000.0</v>
      </c>
      <c r="G474" s="129"/>
      <c r="H474" s="34"/>
      <c r="I474" s="68">
        <f t="shared" si="1"/>
        <v>16</v>
      </c>
      <c r="J474" s="68" t="str">
        <f t="shared" si="2"/>
        <v>6108-16</v>
      </c>
      <c r="K474" s="71" t="str">
        <f>E475</f>
        <v>Kas</v>
      </c>
      <c r="L474" s="34" t="str">
        <f t="shared" si="3"/>
        <v>1101</v>
      </c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5.75" customHeight="1">
      <c r="A475" s="118">
        <v>46254.0</v>
      </c>
      <c r="B475" s="131"/>
      <c r="C475" s="120" t="s">
        <v>499</v>
      </c>
      <c r="D475" s="121" t="s">
        <v>18</v>
      </c>
      <c r="E475" s="43" t="str">
        <f>IFERROR(VLOOKUP(D475,'Daftar Akun'!A$6:$B$103,2,FALSE),"")</f>
        <v>Kas</v>
      </c>
      <c r="F475" s="129"/>
      <c r="G475" s="122">
        <v>1000.0</v>
      </c>
      <c r="H475" s="34"/>
      <c r="I475" s="68">
        <f t="shared" si="1"/>
        <v>82</v>
      </c>
      <c r="J475" s="68" t="str">
        <f t="shared" si="2"/>
        <v>1101-82</v>
      </c>
      <c r="K475" s="71" t="str">
        <f>E474</f>
        <v>Beban Lain-Lain</v>
      </c>
      <c r="L475" s="34" t="str">
        <f t="shared" si="3"/>
        <v>6108</v>
      </c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5.75" customHeight="1">
      <c r="A476" s="118">
        <v>46254.0</v>
      </c>
      <c r="B476" s="119" t="s">
        <v>500</v>
      </c>
      <c r="C476" s="120" t="s">
        <v>501</v>
      </c>
      <c r="D476" s="121" t="s">
        <v>93</v>
      </c>
      <c r="E476" s="43" t="str">
        <f>IFERROR(VLOOKUP(D476,'Daftar Akun'!A$6:$B$103,2,FALSE),"")</f>
        <v>Pembelian Bunga</v>
      </c>
      <c r="F476" s="122">
        <v>128000.0</v>
      </c>
      <c r="G476" s="129"/>
      <c r="H476" s="34"/>
      <c r="I476" s="68">
        <f t="shared" si="1"/>
        <v>82</v>
      </c>
      <c r="J476" s="68" t="str">
        <f t="shared" si="2"/>
        <v>5101-82</v>
      </c>
      <c r="K476" s="71" t="str">
        <f>E477</f>
        <v>Kas</v>
      </c>
      <c r="L476" s="34" t="str">
        <f t="shared" si="3"/>
        <v>1101</v>
      </c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5.75" customHeight="1">
      <c r="A477" s="118">
        <v>46254.0</v>
      </c>
      <c r="B477" s="119" t="s">
        <v>500</v>
      </c>
      <c r="C477" s="120" t="s">
        <v>501</v>
      </c>
      <c r="D477" s="121" t="s">
        <v>18</v>
      </c>
      <c r="E477" s="43" t="str">
        <f>IFERROR(VLOOKUP(D477,'Daftar Akun'!A$6:$B$103,2,FALSE),"")</f>
        <v>Kas</v>
      </c>
      <c r="F477" s="129"/>
      <c r="G477" s="122">
        <v>128000.0</v>
      </c>
      <c r="H477" s="34"/>
      <c r="I477" s="68">
        <f t="shared" si="1"/>
        <v>83</v>
      </c>
      <c r="J477" s="68" t="str">
        <f t="shared" si="2"/>
        <v>1101-83</v>
      </c>
      <c r="K477" s="71" t="str">
        <f>E476</f>
        <v>Pembelian Bunga</v>
      </c>
      <c r="L477" s="34" t="str">
        <f t="shared" si="3"/>
        <v>5101</v>
      </c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5.75" customHeight="1">
      <c r="A478" s="118">
        <v>46254.0</v>
      </c>
      <c r="B478" s="119" t="s">
        <v>502</v>
      </c>
      <c r="C478" s="120" t="s">
        <v>503</v>
      </c>
      <c r="D478" s="121" t="s">
        <v>93</v>
      </c>
      <c r="E478" s="43" t="str">
        <f>IFERROR(VLOOKUP(D478,'Daftar Akun'!A$6:$B$103,2,FALSE),"")</f>
        <v>Pembelian Bunga</v>
      </c>
      <c r="F478" s="122">
        <v>50000.0</v>
      </c>
      <c r="G478" s="129"/>
      <c r="H478" s="34"/>
      <c r="I478" s="68">
        <f t="shared" si="1"/>
        <v>83</v>
      </c>
      <c r="J478" s="68" t="str">
        <f t="shared" si="2"/>
        <v>5101-83</v>
      </c>
      <c r="K478" s="71" t="str">
        <f>E479</f>
        <v>Kas</v>
      </c>
      <c r="L478" s="34" t="str">
        <f t="shared" si="3"/>
        <v>1101</v>
      </c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5.75" customHeight="1">
      <c r="A479" s="118">
        <v>46254.0</v>
      </c>
      <c r="B479" s="119" t="s">
        <v>502</v>
      </c>
      <c r="C479" s="120" t="s">
        <v>503</v>
      </c>
      <c r="D479" s="121" t="s">
        <v>18</v>
      </c>
      <c r="E479" s="43" t="str">
        <f>IFERROR(VLOOKUP(D479,'Daftar Akun'!A$6:$B$103,2,FALSE),"")</f>
        <v>Kas</v>
      </c>
      <c r="F479" s="129"/>
      <c r="G479" s="122">
        <v>50000.0</v>
      </c>
      <c r="H479" s="34"/>
      <c r="I479" s="68">
        <f t="shared" si="1"/>
        <v>84</v>
      </c>
      <c r="J479" s="68" t="str">
        <f t="shared" si="2"/>
        <v>1101-84</v>
      </c>
      <c r="K479" s="71" t="str">
        <f>E478</f>
        <v>Pembelian Bunga</v>
      </c>
      <c r="L479" s="34" t="str">
        <f t="shared" si="3"/>
        <v>5101</v>
      </c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5.75" customHeight="1">
      <c r="A480" s="118">
        <v>46254.0</v>
      </c>
      <c r="B480" s="119" t="s">
        <v>504</v>
      </c>
      <c r="C480" s="120" t="s">
        <v>249</v>
      </c>
      <c r="D480" s="121" t="s">
        <v>93</v>
      </c>
      <c r="E480" s="43" t="str">
        <f>IFERROR(VLOOKUP(D480,'Daftar Akun'!A$6:$B$103,2,FALSE),"")</f>
        <v>Pembelian Bunga</v>
      </c>
      <c r="F480" s="122">
        <v>339000.0</v>
      </c>
      <c r="G480" s="129"/>
      <c r="H480" s="34"/>
      <c r="I480" s="68">
        <f t="shared" si="1"/>
        <v>84</v>
      </c>
      <c r="J480" s="68" t="str">
        <f t="shared" si="2"/>
        <v>5101-84</v>
      </c>
      <c r="K480" s="71" t="str">
        <f>E481</f>
        <v>Kas</v>
      </c>
      <c r="L480" s="34" t="str">
        <f t="shared" si="3"/>
        <v>1101</v>
      </c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5.75" customHeight="1">
      <c r="A481" s="118">
        <v>46254.0</v>
      </c>
      <c r="B481" s="119" t="s">
        <v>504</v>
      </c>
      <c r="C481" s="120" t="s">
        <v>249</v>
      </c>
      <c r="D481" s="121" t="s">
        <v>18</v>
      </c>
      <c r="E481" s="43" t="str">
        <f>IFERROR(VLOOKUP(D481,'Daftar Akun'!A$6:$B$103,2,FALSE),"")</f>
        <v>Kas</v>
      </c>
      <c r="F481" s="129"/>
      <c r="G481" s="122">
        <v>339000.0</v>
      </c>
      <c r="H481" s="34"/>
      <c r="I481" s="68">
        <f t="shared" si="1"/>
        <v>85</v>
      </c>
      <c r="J481" s="68" t="str">
        <f t="shared" si="2"/>
        <v>1101-85</v>
      </c>
      <c r="K481" s="71" t="str">
        <f>E480</f>
        <v>Pembelian Bunga</v>
      </c>
      <c r="L481" s="34" t="str">
        <f t="shared" si="3"/>
        <v>5101</v>
      </c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5.75" customHeight="1">
      <c r="A482" s="118">
        <v>46254.0</v>
      </c>
      <c r="B482" s="119" t="s">
        <v>504</v>
      </c>
      <c r="C482" s="120" t="s">
        <v>505</v>
      </c>
      <c r="D482" s="121" t="s">
        <v>53</v>
      </c>
      <c r="E482" s="43" t="str">
        <f>IFERROR(VLOOKUP(D482,'Daftar Akun'!A$6:$B$103,2,FALSE),"")</f>
        <v>Perlengkapan</v>
      </c>
      <c r="F482" s="122">
        <v>25000.0</v>
      </c>
      <c r="G482" s="129"/>
      <c r="H482" s="34"/>
      <c r="I482" s="68">
        <f t="shared" si="1"/>
        <v>5</v>
      </c>
      <c r="J482" s="68" t="str">
        <f t="shared" si="2"/>
        <v>1108-5</v>
      </c>
      <c r="K482" s="71" t="str">
        <f>E483</f>
        <v>Kas</v>
      </c>
      <c r="L482" s="34" t="str">
        <f t="shared" si="3"/>
        <v>1101</v>
      </c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5.75" customHeight="1">
      <c r="A483" s="118">
        <v>46254.0</v>
      </c>
      <c r="B483" s="119" t="s">
        <v>504</v>
      </c>
      <c r="C483" s="120" t="s">
        <v>505</v>
      </c>
      <c r="D483" s="121" t="s">
        <v>18</v>
      </c>
      <c r="E483" s="43" t="str">
        <f>IFERROR(VLOOKUP(D483,'Daftar Akun'!A$6:$B$103,2,FALSE),"")</f>
        <v>Kas</v>
      </c>
      <c r="F483" s="129"/>
      <c r="G483" s="122">
        <v>25000.0</v>
      </c>
      <c r="H483" s="34"/>
      <c r="I483" s="68">
        <f t="shared" si="1"/>
        <v>86</v>
      </c>
      <c r="J483" s="68" t="str">
        <f t="shared" si="2"/>
        <v>1101-86</v>
      </c>
      <c r="K483" s="71" t="str">
        <f>E482</f>
        <v>Perlengkapan</v>
      </c>
      <c r="L483" s="34" t="str">
        <f t="shared" si="3"/>
        <v>1108</v>
      </c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5.75" customHeight="1">
      <c r="A484" s="118">
        <v>46254.0</v>
      </c>
      <c r="B484" s="119" t="s">
        <v>506</v>
      </c>
      <c r="C484" s="120" t="s">
        <v>494</v>
      </c>
      <c r="D484" s="121" t="s">
        <v>93</v>
      </c>
      <c r="E484" s="43" t="str">
        <f>IFERROR(VLOOKUP(D484,'Daftar Akun'!A$6:$B$103,2,FALSE),"")</f>
        <v>Pembelian Bunga</v>
      </c>
      <c r="F484" s="122">
        <v>655000.0</v>
      </c>
      <c r="G484" s="129"/>
      <c r="H484" s="34"/>
      <c r="I484" s="68">
        <f t="shared" si="1"/>
        <v>85</v>
      </c>
      <c r="J484" s="68" t="str">
        <f t="shared" si="2"/>
        <v>5101-85</v>
      </c>
      <c r="K484" s="71" t="str">
        <f>E485</f>
        <v>Hutang Dagang</v>
      </c>
      <c r="L484" s="34" t="str">
        <f t="shared" si="3"/>
        <v>2101</v>
      </c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5.75" customHeight="1">
      <c r="A485" s="118">
        <v>46254.0</v>
      </c>
      <c r="B485" s="119" t="s">
        <v>506</v>
      </c>
      <c r="C485" s="120" t="s">
        <v>494</v>
      </c>
      <c r="D485" s="121" t="s">
        <v>67</v>
      </c>
      <c r="E485" s="43" t="str">
        <f>IFERROR(VLOOKUP(D485,'Daftar Akun'!A$6:$B$103,2,FALSE),"")</f>
        <v>Hutang Dagang</v>
      </c>
      <c r="F485" s="129"/>
      <c r="G485" s="122">
        <v>655000.0</v>
      </c>
      <c r="H485" s="34"/>
      <c r="I485" s="68">
        <f t="shared" si="1"/>
        <v>17</v>
      </c>
      <c r="J485" s="68" t="str">
        <f t="shared" si="2"/>
        <v>2101-17</v>
      </c>
      <c r="K485" s="71" t="str">
        <f>E484</f>
        <v>Pembelian Bunga</v>
      </c>
      <c r="L485" s="34" t="str">
        <f t="shared" si="3"/>
        <v>5101</v>
      </c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5.75" customHeight="1">
      <c r="A486" s="118">
        <v>46254.0</v>
      </c>
      <c r="B486" s="131"/>
      <c r="C486" s="120" t="s">
        <v>507</v>
      </c>
      <c r="D486" s="121" t="s">
        <v>33</v>
      </c>
      <c r="E486" s="43" t="str">
        <f>IFERROR(VLOOKUP(D486,'Daftar Akun'!A$6:$B$103,2,FALSE),"")</f>
        <v>Bank</v>
      </c>
      <c r="F486" s="122">
        <v>363000.0</v>
      </c>
      <c r="G486" s="129"/>
      <c r="H486" s="34"/>
      <c r="I486" s="68">
        <f t="shared" si="1"/>
        <v>102</v>
      </c>
      <c r="J486" s="68" t="str">
        <f t="shared" si="2"/>
        <v>1102-102</v>
      </c>
      <c r="K486" s="71" t="str">
        <f>E487</f>
        <v>Pendapatan Bunga</v>
      </c>
      <c r="L486" s="34" t="str">
        <f t="shared" si="3"/>
        <v>4103</v>
      </c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5.75" customHeight="1">
      <c r="A487" s="118">
        <v>46254.0</v>
      </c>
      <c r="B487" s="131"/>
      <c r="C487" s="120" t="s">
        <v>507</v>
      </c>
      <c r="D487" s="121" t="s">
        <v>87</v>
      </c>
      <c r="E487" s="43" t="str">
        <f>IFERROR(VLOOKUP(D487,'Daftar Akun'!A$6:$B$103,2,FALSE),"")</f>
        <v>Pendapatan Bunga</v>
      </c>
      <c r="F487" s="129"/>
      <c r="G487" s="122">
        <v>363000.0</v>
      </c>
      <c r="H487" s="34"/>
      <c r="I487" s="68">
        <f t="shared" si="1"/>
        <v>1</v>
      </c>
      <c r="J487" s="68" t="str">
        <f t="shared" si="2"/>
        <v>4103-1</v>
      </c>
      <c r="K487" s="71" t="str">
        <f>E486</f>
        <v>Bank</v>
      </c>
      <c r="L487" s="34" t="str">
        <f t="shared" si="3"/>
        <v>1102</v>
      </c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5.75" customHeight="1">
      <c r="A488" s="118">
        <v>46254.0</v>
      </c>
      <c r="B488" s="119" t="s">
        <v>508</v>
      </c>
      <c r="C488" s="120" t="s">
        <v>157</v>
      </c>
      <c r="D488" s="121" t="s">
        <v>93</v>
      </c>
      <c r="E488" s="43" t="str">
        <f>IFERROR(VLOOKUP(D488,'Daftar Akun'!A$6:$B$103,2,FALSE),"")</f>
        <v>Pembelian Bunga</v>
      </c>
      <c r="F488" s="122">
        <v>500000.0</v>
      </c>
      <c r="G488" s="129"/>
      <c r="H488" s="34"/>
      <c r="I488" s="68">
        <f t="shared" si="1"/>
        <v>86</v>
      </c>
      <c r="J488" s="68" t="str">
        <f t="shared" si="2"/>
        <v>5101-86</v>
      </c>
      <c r="K488" s="71" t="str">
        <f>E489</f>
        <v>Hutang Dagang</v>
      </c>
      <c r="L488" s="34" t="str">
        <f t="shared" si="3"/>
        <v>2101</v>
      </c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5.75" customHeight="1">
      <c r="A489" s="118">
        <v>46254.0</v>
      </c>
      <c r="B489" s="119" t="s">
        <v>508</v>
      </c>
      <c r="C489" s="120" t="s">
        <v>157</v>
      </c>
      <c r="D489" s="121" t="s">
        <v>67</v>
      </c>
      <c r="E489" s="43" t="str">
        <f>IFERROR(VLOOKUP(D489,'Daftar Akun'!A$6:$B$103,2,FALSE),"")</f>
        <v>Hutang Dagang</v>
      </c>
      <c r="F489" s="129"/>
      <c r="G489" s="122">
        <v>500000.0</v>
      </c>
      <c r="H489" s="34"/>
      <c r="I489" s="68">
        <f t="shared" si="1"/>
        <v>18</v>
      </c>
      <c r="J489" s="68" t="str">
        <f t="shared" si="2"/>
        <v>2101-18</v>
      </c>
      <c r="K489" s="71" t="str">
        <f>E488</f>
        <v>Pembelian Bunga</v>
      </c>
      <c r="L489" s="34" t="str">
        <f t="shared" si="3"/>
        <v>5101</v>
      </c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5.75" customHeight="1">
      <c r="A490" s="118">
        <v>46254.0</v>
      </c>
      <c r="B490" s="131"/>
      <c r="C490" s="120" t="s">
        <v>509</v>
      </c>
      <c r="D490" s="121" t="s">
        <v>93</v>
      </c>
      <c r="E490" s="43" t="str">
        <f>IFERROR(VLOOKUP(D490,'Daftar Akun'!A$6:$B$103,2,FALSE),"")</f>
        <v>Pembelian Bunga</v>
      </c>
      <c r="F490" s="122">
        <v>500000.0</v>
      </c>
      <c r="G490" s="129"/>
      <c r="H490" s="34"/>
      <c r="I490" s="68">
        <f t="shared" si="1"/>
        <v>87</v>
      </c>
      <c r="J490" s="68" t="str">
        <f t="shared" si="2"/>
        <v>5101-87</v>
      </c>
      <c r="K490" s="71" t="str">
        <f>E491</f>
        <v>Bank</v>
      </c>
      <c r="L490" s="34" t="str">
        <f t="shared" si="3"/>
        <v>1102</v>
      </c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5.75" customHeight="1">
      <c r="A491" s="118">
        <v>46254.0</v>
      </c>
      <c r="B491" s="131"/>
      <c r="C491" s="120" t="s">
        <v>509</v>
      </c>
      <c r="D491" s="121" t="s">
        <v>33</v>
      </c>
      <c r="E491" s="43" t="str">
        <f>IFERROR(VLOOKUP(D491,'Daftar Akun'!A$6:$B$103,2,FALSE),"")</f>
        <v>Bank</v>
      </c>
      <c r="F491" s="129"/>
      <c r="G491" s="122">
        <v>500000.0</v>
      </c>
      <c r="H491" s="34"/>
      <c r="I491" s="68">
        <f t="shared" si="1"/>
        <v>103</v>
      </c>
      <c r="J491" s="68" t="str">
        <f t="shared" si="2"/>
        <v>1102-103</v>
      </c>
      <c r="K491" s="71" t="str">
        <f>E490</f>
        <v>Pembelian Bunga</v>
      </c>
      <c r="L491" s="34" t="str">
        <f t="shared" si="3"/>
        <v>5101</v>
      </c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5.75" customHeight="1">
      <c r="A492" s="118">
        <v>46254.0</v>
      </c>
      <c r="B492" s="131"/>
      <c r="C492" s="120" t="s">
        <v>510</v>
      </c>
      <c r="D492" s="121" t="s">
        <v>51</v>
      </c>
      <c r="E492" s="43" t="str">
        <f>IFERROR(VLOOKUP(D492,'Daftar Akun'!A$6:$B$103,2,FALSE),"")</f>
        <v>Piutang Ongkir</v>
      </c>
      <c r="F492" s="122">
        <v>100000.0</v>
      </c>
      <c r="G492" s="129"/>
      <c r="H492" s="34"/>
      <c r="I492" s="68">
        <f t="shared" si="1"/>
        <v>36</v>
      </c>
      <c r="J492" s="68" t="str">
        <f t="shared" si="2"/>
        <v>1107-36</v>
      </c>
      <c r="K492" s="71" t="str">
        <f>E493</f>
        <v>Kas</v>
      </c>
      <c r="L492" s="34" t="str">
        <f t="shared" si="3"/>
        <v>1101</v>
      </c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5.75" customHeight="1">
      <c r="A493" s="118">
        <v>46254.0</v>
      </c>
      <c r="B493" s="131"/>
      <c r="C493" s="120" t="s">
        <v>510</v>
      </c>
      <c r="D493" s="121" t="s">
        <v>18</v>
      </c>
      <c r="E493" s="43" t="str">
        <f>IFERROR(VLOOKUP(D493,'Daftar Akun'!A$6:$B$103,2,FALSE),"")</f>
        <v>Kas</v>
      </c>
      <c r="F493" s="129"/>
      <c r="G493" s="122">
        <v>100000.0</v>
      </c>
      <c r="H493" s="34"/>
      <c r="I493" s="68">
        <f t="shared" si="1"/>
        <v>87</v>
      </c>
      <c r="J493" s="68" t="str">
        <f t="shared" si="2"/>
        <v>1101-87</v>
      </c>
      <c r="K493" s="71" t="str">
        <f>E492</f>
        <v>Piutang Ongkir</v>
      </c>
      <c r="L493" s="34" t="str">
        <f t="shared" si="3"/>
        <v>1107</v>
      </c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5.75" customHeight="1">
      <c r="A494" s="118">
        <v>46254.0</v>
      </c>
      <c r="B494" s="131"/>
      <c r="C494" s="120" t="s">
        <v>511</v>
      </c>
      <c r="D494" s="121" t="s">
        <v>100</v>
      </c>
      <c r="E494" s="43" t="str">
        <f>IFERROR(VLOOKUP(D494,'Daftar Akun'!A$6:$B$103,2,FALSE),"")</f>
        <v>Beban Angkut Pembelian</v>
      </c>
      <c r="F494" s="122">
        <v>35000.0</v>
      </c>
      <c r="G494" s="129"/>
      <c r="H494" s="34"/>
      <c r="I494" s="68">
        <f t="shared" si="1"/>
        <v>5</v>
      </c>
      <c r="J494" s="68" t="str">
        <f t="shared" si="2"/>
        <v>5103-5</v>
      </c>
      <c r="K494" s="71" t="str">
        <f>E495</f>
        <v>Kas</v>
      </c>
      <c r="L494" s="34" t="str">
        <f t="shared" si="3"/>
        <v>1101</v>
      </c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5.75" customHeight="1">
      <c r="A495" s="118">
        <v>46254.0</v>
      </c>
      <c r="B495" s="131"/>
      <c r="C495" s="120" t="s">
        <v>511</v>
      </c>
      <c r="D495" s="121" t="s">
        <v>18</v>
      </c>
      <c r="E495" s="43" t="str">
        <f>IFERROR(VLOOKUP(D495,'Daftar Akun'!A$6:$B$103,2,FALSE),"")</f>
        <v>Kas</v>
      </c>
      <c r="F495" s="129"/>
      <c r="G495" s="122">
        <v>35000.0</v>
      </c>
      <c r="H495" s="34"/>
      <c r="I495" s="68">
        <f t="shared" si="1"/>
        <v>88</v>
      </c>
      <c r="J495" s="68" t="str">
        <f t="shared" si="2"/>
        <v>1101-88</v>
      </c>
      <c r="K495" s="71" t="str">
        <f>E494</f>
        <v>Beban Angkut Pembelian</v>
      </c>
      <c r="L495" s="34" t="str">
        <f t="shared" si="3"/>
        <v>5103</v>
      </c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5.75" customHeight="1">
      <c r="A496" s="118">
        <v>46254.0</v>
      </c>
      <c r="B496" s="119" t="s">
        <v>512</v>
      </c>
      <c r="C496" s="120" t="s">
        <v>258</v>
      </c>
      <c r="D496" s="121" t="s">
        <v>93</v>
      </c>
      <c r="E496" s="43" t="str">
        <f>IFERROR(VLOOKUP(D496,'Daftar Akun'!A$6:$B$103,2,FALSE),"")</f>
        <v>Pembelian Bunga</v>
      </c>
      <c r="F496" s="122">
        <v>288000.0</v>
      </c>
      <c r="G496" s="129"/>
      <c r="H496" s="34"/>
      <c r="I496" s="68">
        <f t="shared" si="1"/>
        <v>88</v>
      </c>
      <c r="J496" s="68" t="str">
        <f t="shared" si="2"/>
        <v>5101-88</v>
      </c>
      <c r="K496" s="71" t="str">
        <f>E497</f>
        <v>Hutang Dagang</v>
      </c>
      <c r="L496" s="34" t="str">
        <f t="shared" si="3"/>
        <v>2101</v>
      </c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5.75" customHeight="1">
      <c r="A497" s="118">
        <v>46254.0</v>
      </c>
      <c r="B497" s="119" t="s">
        <v>512</v>
      </c>
      <c r="C497" s="120" t="s">
        <v>258</v>
      </c>
      <c r="D497" s="121" t="s">
        <v>67</v>
      </c>
      <c r="E497" s="43" t="str">
        <f>IFERROR(VLOOKUP(D497,'Daftar Akun'!A$6:$B$103,2,FALSE),"")</f>
        <v>Hutang Dagang</v>
      </c>
      <c r="F497" s="129"/>
      <c r="G497" s="122">
        <v>288000.0</v>
      </c>
      <c r="H497" s="34"/>
      <c r="I497" s="68">
        <f t="shared" si="1"/>
        <v>19</v>
      </c>
      <c r="J497" s="68" t="str">
        <f t="shared" si="2"/>
        <v>2101-19</v>
      </c>
      <c r="K497" s="71" t="str">
        <f>E496</f>
        <v>Pembelian Bunga</v>
      </c>
      <c r="L497" s="34" t="str">
        <f t="shared" si="3"/>
        <v>5101</v>
      </c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5.75" customHeight="1">
      <c r="A498" s="118">
        <v>46254.0</v>
      </c>
      <c r="B498" s="119" t="s">
        <v>409</v>
      </c>
      <c r="C498" s="120" t="s">
        <v>198</v>
      </c>
      <c r="D498" s="121" t="s">
        <v>36</v>
      </c>
      <c r="E498" s="43" t="str">
        <f>IFERROR(VLOOKUP(D498,'Daftar Akun'!A$6:$B$103,2,FALSE),"")</f>
        <v>Piutang Dagang</v>
      </c>
      <c r="F498" s="122">
        <v>330000.0</v>
      </c>
      <c r="G498" s="129"/>
      <c r="H498" s="34"/>
      <c r="I498" s="68">
        <f t="shared" si="1"/>
        <v>59</v>
      </c>
      <c r="J498" s="68" t="str">
        <f t="shared" si="2"/>
        <v>1103-59</v>
      </c>
      <c r="K498" s="71" t="str">
        <f>E499</f>
        <v>Penjualan</v>
      </c>
      <c r="L498" s="34" t="str">
        <f t="shared" si="3"/>
        <v>4101</v>
      </c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5.75" customHeight="1">
      <c r="A499" s="118">
        <v>46254.0</v>
      </c>
      <c r="B499" s="119" t="s">
        <v>409</v>
      </c>
      <c r="C499" s="120" t="s">
        <v>198</v>
      </c>
      <c r="D499" s="121" t="s">
        <v>80</v>
      </c>
      <c r="E499" s="43" t="str">
        <f>IFERROR(VLOOKUP(D499,'Daftar Akun'!A$6:$B$103,2,FALSE),"")</f>
        <v>Penjualan</v>
      </c>
      <c r="F499" s="129"/>
      <c r="G499" s="122">
        <v>330000.0</v>
      </c>
      <c r="H499" s="34"/>
      <c r="I499" s="68">
        <f t="shared" si="1"/>
        <v>56</v>
      </c>
      <c r="J499" s="68" t="str">
        <f t="shared" si="2"/>
        <v>4101-56</v>
      </c>
      <c r="K499" s="71" t="str">
        <f>E498</f>
        <v>Piutang Dagang</v>
      </c>
      <c r="L499" s="34" t="str">
        <f t="shared" si="3"/>
        <v>1103</v>
      </c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5.75" customHeight="1">
      <c r="A500" s="118">
        <v>46254.0</v>
      </c>
      <c r="B500" s="119" t="s">
        <v>513</v>
      </c>
      <c r="C500" s="120" t="s">
        <v>266</v>
      </c>
      <c r="D500" s="121" t="s">
        <v>36</v>
      </c>
      <c r="E500" s="43" t="str">
        <f>IFERROR(VLOOKUP(D500,'Daftar Akun'!A$6:$B$103,2,FALSE),"")</f>
        <v>Piutang Dagang</v>
      </c>
      <c r="F500" s="122">
        <v>770000.0</v>
      </c>
      <c r="G500" s="129"/>
      <c r="H500" s="34"/>
      <c r="I500" s="68">
        <f t="shared" si="1"/>
        <v>60</v>
      </c>
      <c r="J500" s="68" t="str">
        <f t="shared" si="2"/>
        <v>1103-60</v>
      </c>
      <c r="K500" s="71" t="str">
        <f>E501</f>
        <v>Penjualan</v>
      </c>
      <c r="L500" s="34" t="str">
        <f t="shared" si="3"/>
        <v>4101</v>
      </c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5.75" customHeight="1">
      <c r="A501" s="118">
        <v>46254.0</v>
      </c>
      <c r="B501" s="119" t="s">
        <v>513</v>
      </c>
      <c r="C501" s="120" t="s">
        <v>266</v>
      </c>
      <c r="D501" s="121" t="s">
        <v>80</v>
      </c>
      <c r="E501" s="43" t="str">
        <f>IFERROR(VLOOKUP(D501,'Daftar Akun'!A$6:$B$103,2,FALSE),"")</f>
        <v>Penjualan</v>
      </c>
      <c r="F501" s="129"/>
      <c r="G501" s="122">
        <v>770000.0</v>
      </c>
      <c r="H501" s="34"/>
      <c r="I501" s="68">
        <f t="shared" si="1"/>
        <v>57</v>
      </c>
      <c r="J501" s="68" t="str">
        <f t="shared" si="2"/>
        <v>4101-57</v>
      </c>
      <c r="K501" s="71" t="str">
        <f>E500</f>
        <v>Piutang Dagang</v>
      </c>
      <c r="L501" s="34" t="str">
        <f t="shared" si="3"/>
        <v>1103</v>
      </c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5.75" customHeight="1">
      <c r="A502" s="118">
        <v>46254.0</v>
      </c>
      <c r="B502" s="119" t="s">
        <v>514</v>
      </c>
      <c r="C502" s="120" t="s">
        <v>515</v>
      </c>
      <c r="D502" s="121" t="s">
        <v>36</v>
      </c>
      <c r="E502" s="43" t="str">
        <f>IFERROR(VLOOKUP(D502,'Daftar Akun'!A$6:$B$103,2,FALSE),"")</f>
        <v>Piutang Dagang</v>
      </c>
      <c r="F502" s="122">
        <v>1475000.0</v>
      </c>
      <c r="G502" s="129"/>
      <c r="H502" s="34"/>
      <c r="I502" s="68">
        <f t="shared" si="1"/>
        <v>61</v>
      </c>
      <c r="J502" s="68" t="str">
        <f t="shared" si="2"/>
        <v>1103-61</v>
      </c>
      <c r="K502" s="71" t="str">
        <f>E503</f>
        <v>Penjualan</v>
      </c>
      <c r="L502" s="34" t="str">
        <f t="shared" si="3"/>
        <v>4101</v>
      </c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5.75" customHeight="1">
      <c r="A503" s="118">
        <v>46254.0</v>
      </c>
      <c r="B503" s="119" t="s">
        <v>514</v>
      </c>
      <c r="C503" s="120" t="s">
        <v>515</v>
      </c>
      <c r="D503" s="121" t="s">
        <v>80</v>
      </c>
      <c r="E503" s="43" t="str">
        <f>IFERROR(VLOOKUP(D503,'Daftar Akun'!A$6:$B$103,2,FALSE),"")</f>
        <v>Penjualan</v>
      </c>
      <c r="F503" s="129"/>
      <c r="G503" s="122">
        <v>1475000.0</v>
      </c>
      <c r="H503" s="34"/>
      <c r="I503" s="68">
        <f t="shared" si="1"/>
        <v>58</v>
      </c>
      <c r="J503" s="68" t="str">
        <f t="shared" si="2"/>
        <v>4101-58</v>
      </c>
      <c r="K503" s="71" t="str">
        <f>E502</f>
        <v>Piutang Dagang</v>
      </c>
      <c r="L503" s="34" t="str">
        <f t="shared" si="3"/>
        <v>1103</v>
      </c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5.75" customHeight="1">
      <c r="A504" s="118">
        <v>46254.0</v>
      </c>
      <c r="B504" s="119" t="s">
        <v>516</v>
      </c>
      <c r="C504" s="120" t="s">
        <v>262</v>
      </c>
      <c r="D504" s="121" t="s">
        <v>36</v>
      </c>
      <c r="E504" s="43" t="str">
        <f>IFERROR(VLOOKUP(D504,'Daftar Akun'!A$6:$B$103,2,FALSE),"")</f>
        <v>Piutang Dagang</v>
      </c>
      <c r="F504" s="122">
        <v>772500.0</v>
      </c>
      <c r="G504" s="129"/>
      <c r="H504" s="34"/>
      <c r="I504" s="68">
        <f t="shared" si="1"/>
        <v>62</v>
      </c>
      <c r="J504" s="68" t="str">
        <f t="shared" si="2"/>
        <v>1103-62</v>
      </c>
      <c r="K504" s="71" t="str">
        <f>E505</f>
        <v>Penjualan</v>
      </c>
      <c r="L504" s="34" t="str">
        <f t="shared" si="3"/>
        <v>4101</v>
      </c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5.75" customHeight="1">
      <c r="A505" s="118">
        <v>46254.0</v>
      </c>
      <c r="B505" s="119" t="s">
        <v>516</v>
      </c>
      <c r="C505" s="120" t="s">
        <v>262</v>
      </c>
      <c r="D505" s="121" t="s">
        <v>80</v>
      </c>
      <c r="E505" s="43" t="str">
        <f>IFERROR(VLOOKUP(D505,'Daftar Akun'!A$6:$B$103,2,FALSE),"")</f>
        <v>Penjualan</v>
      </c>
      <c r="F505" s="129"/>
      <c r="G505" s="122">
        <v>772500.0</v>
      </c>
      <c r="H505" s="34"/>
      <c r="I505" s="68">
        <f t="shared" si="1"/>
        <v>59</v>
      </c>
      <c r="J505" s="68" t="str">
        <f t="shared" si="2"/>
        <v>4101-59</v>
      </c>
      <c r="K505" s="71" t="str">
        <f>E504</f>
        <v>Piutang Dagang</v>
      </c>
      <c r="L505" s="34" t="str">
        <f t="shared" si="3"/>
        <v>1103</v>
      </c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5.75" customHeight="1">
      <c r="A506" s="118">
        <v>46254.0</v>
      </c>
      <c r="B506" s="119" t="s">
        <v>517</v>
      </c>
      <c r="C506" s="120" t="s">
        <v>361</v>
      </c>
      <c r="D506" s="121" t="s">
        <v>18</v>
      </c>
      <c r="E506" s="43" t="str">
        <f>IFERROR(VLOOKUP(D506,'Daftar Akun'!A$6:$B$103,2,FALSE),"")</f>
        <v>Kas</v>
      </c>
      <c r="F506" s="122">
        <v>100000.0</v>
      </c>
      <c r="G506" s="129"/>
      <c r="H506" s="34"/>
      <c r="I506" s="68">
        <f t="shared" si="1"/>
        <v>89</v>
      </c>
      <c r="J506" s="68" t="str">
        <f t="shared" si="2"/>
        <v>1101-89</v>
      </c>
      <c r="K506" s="71" t="str">
        <f>E507</f>
        <v>Penjualan</v>
      </c>
      <c r="L506" s="34" t="str">
        <f t="shared" si="3"/>
        <v>4101</v>
      </c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5.75" customHeight="1">
      <c r="A507" s="118">
        <v>46254.0</v>
      </c>
      <c r="B507" s="119" t="s">
        <v>517</v>
      </c>
      <c r="C507" s="120" t="s">
        <v>361</v>
      </c>
      <c r="D507" s="121" t="s">
        <v>80</v>
      </c>
      <c r="E507" s="43" t="str">
        <f>IFERROR(VLOOKUP(D507,'Daftar Akun'!A$6:$B$103,2,FALSE),"")</f>
        <v>Penjualan</v>
      </c>
      <c r="F507" s="129"/>
      <c r="G507" s="122">
        <v>100000.0</v>
      </c>
      <c r="H507" s="34"/>
      <c r="I507" s="68">
        <f t="shared" si="1"/>
        <v>60</v>
      </c>
      <c r="J507" s="68" t="str">
        <f t="shared" si="2"/>
        <v>4101-60</v>
      </c>
      <c r="K507" s="71" t="str">
        <f>E506</f>
        <v>Kas</v>
      </c>
      <c r="L507" s="34" t="str">
        <f t="shared" si="3"/>
        <v>1101</v>
      </c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5.75" customHeight="1">
      <c r="A508" s="118">
        <v>46254.0</v>
      </c>
      <c r="B508" s="119" t="s">
        <v>518</v>
      </c>
      <c r="C508" s="120" t="s">
        <v>519</v>
      </c>
      <c r="D508" s="121" t="s">
        <v>36</v>
      </c>
      <c r="E508" s="43" t="str">
        <f>IFERROR(VLOOKUP(D508,'Daftar Akun'!A$6:$B$103,2,FALSE),"")</f>
        <v>Piutang Dagang</v>
      </c>
      <c r="F508" s="122">
        <v>1825000.0</v>
      </c>
      <c r="G508" s="129"/>
      <c r="H508" s="34"/>
      <c r="I508" s="68">
        <f t="shared" si="1"/>
        <v>63</v>
      </c>
      <c r="J508" s="68" t="str">
        <f t="shared" si="2"/>
        <v>1103-63</v>
      </c>
      <c r="K508" s="71" t="str">
        <f>E509</f>
        <v>Penjualan</v>
      </c>
      <c r="L508" s="34" t="str">
        <f t="shared" si="3"/>
        <v>4101</v>
      </c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5.75" customHeight="1">
      <c r="A509" s="118">
        <v>46254.0</v>
      </c>
      <c r="B509" s="119" t="s">
        <v>518</v>
      </c>
      <c r="C509" s="120" t="s">
        <v>519</v>
      </c>
      <c r="D509" s="121" t="s">
        <v>80</v>
      </c>
      <c r="E509" s="43" t="str">
        <f>IFERROR(VLOOKUP(D509,'Daftar Akun'!A$6:$B$103,2,FALSE),"")</f>
        <v>Penjualan</v>
      </c>
      <c r="F509" s="129"/>
      <c r="G509" s="122">
        <v>1825000.0</v>
      </c>
      <c r="H509" s="34"/>
      <c r="I509" s="68">
        <f t="shared" si="1"/>
        <v>61</v>
      </c>
      <c r="J509" s="68" t="str">
        <f t="shared" si="2"/>
        <v>4101-61</v>
      </c>
      <c r="K509" s="71" t="str">
        <f>E508</f>
        <v>Piutang Dagang</v>
      </c>
      <c r="L509" s="34" t="str">
        <f t="shared" si="3"/>
        <v>1103</v>
      </c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5.75" customHeight="1">
      <c r="A510" s="118">
        <v>46254.0</v>
      </c>
      <c r="B510" s="131"/>
      <c r="C510" s="120" t="s">
        <v>520</v>
      </c>
      <c r="D510" s="121" t="s">
        <v>60</v>
      </c>
      <c r="E510" s="43" t="str">
        <f>IFERROR(VLOOKUP(D510,'Daftar Akun'!A$6:$B$103,2,FALSE),"")</f>
        <v>Uang Muka Pembelian Petani</v>
      </c>
      <c r="F510" s="122">
        <v>5000000.0</v>
      </c>
      <c r="G510" s="129"/>
      <c r="H510" s="34"/>
      <c r="I510" s="68">
        <f t="shared" si="1"/>
        <v>2</v>
      </c>
      <c r="J510" s="68" t="str">
        <f t="shared" si="2"/>
        <v>1110-2</v>
      </c>
      <c r="K510" s="71" t="str">
        <f>E511</f>
        <v>Bank</v>
      </c>
      <c r="L510" s="34" t="str">
        <f t="shared" si="3"/>
        <v>1102</v>
      </c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5.75" customHeight="1">
      <c r="A511" s="118">
        <v>46254.0</v>
      </c>
      <c r="B511" s="131"/>
      <c r="C511" s="120" t="s">
        <v>520</v>
      </c>
      <c r="D511" s="121" t="s">
        <v>33</v>
      </c>
      <c r="E511" s="43" t="str">
        <f>IFERROR(VLOOKUP(D511,'Daftar Akun'!A$6:$B$103,2,FALSE),"")</f>
        <v>Bank</v>
      </c>
      <c r="F511" s="129"/>
      <c r="G511" s="122">
        <v>5000000.0</v>
      </c>
      <c r="H511" s="34"/>
      <c r="I511" s="68">
        <f t="shared" si="1"/>
        <v>104</v>
      </c>
      <c r="J511" s="68" t="str">
        <f t="shared" si="2"/>
        <v>1102-104</v>
      </c>
      <c r="K511" s="71" t="str">
        <f>E510</f>
        <v>Uang Muka Pembelian Petani</v>
      </c>
      <c r="L511" s="34" t="str">
        <f t="shared" si="3"/>
        <v>1110</v>
      </c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5.75" customHeight="1">
      <c r="A512" s="118">
        <v>46255.0</v>
      </c>
      <c r="B512" s="131"/>
      <c r="C512" s="120" t="s">
        <v>521</v>
      </c>
      <c r="D512" s="121" t="s">
        <v>51</v>
      </c>
      <c r="E512" s="43" t="str">
        <f>IFERROR(VLOOKUP(D512,'Daftar Akun'!A$6:$B$103,2,FALSE),"")</f>
        <v>Piutang Ongkir</v>
      </c>
      <c r="F512" s="122">
        <v>2469040.0</v>
      </c>
      <c r="G512" s="129"/>
      <c r="H512" s="34"/>
      <c r="I512" s="68">
        <f t="shared" si="1"/>
        <v>37</v>
      </c>
      <c r="J512" s="68" t="str">
        <f t="shared" si="2"/>
        <v>1107-37</v>
      </c>
      <c r="K512" s="71" t="str">
        <f>E513</f>
        <v>Bank</v>
      </c>
      <c r="L512" s="34" t="str">
        <f t="shared" si="3"/>
        <v>1102</v>
      </c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5.75" customHeight="1">
      <c r="A513" s="118">
        <v>46255.0</v>
      </c>
      <c r="B513" s="131"/>
      <c r="C513" s="120" t="s">
        <v>521</v>
      </c>
      <c r="D513" s="121" t="s">
        <v>33</v>
      </c>
      <c r="E513" s="43" t="str">
        <f>IFERROR(VLOOKUP(D513,'Daftar Akun'!A$6:$B$103,2,FALSE),"")</f>
        <v>Bank</v>
      </c>
      <c r="F513" s="129"/>
      <c r="G513" s="122">
        <v>2469040.0</v>
      </c>
      <c r="H513" s="34"/>
      <c r="I513" s="68">
        <f t="shared" si="1"/>
        <v>105</v>
      </c>
      <c r="J513" s="68" t="str">
        <f t="shared" si="2"/>
        <v>1102-105</v>
      </c>
      <c r="K513" s="71" t="str">
        <f>E512</f>
        <v>Piutang Ongkir</v>
      </c>
      <c r="L513" s="34" t="str">
        <f t="shared" si="3"/>
        <v>1107</v>
      </c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5.75" customHeight="1">
      <c r="A514" s="118">
        <v>46255.0</v>
      </c>
      <c r="B514" s="119" t="s">
        <v>522</v>
      </c>
      <c r="C514" s="120" t="s">
        <v>258</v>
      </c>
      <c r="D514" s="121" t="s">
        <v>93</v>
      </c>
      <c r="E514" s="43" t="str">
        <f>IFERROR(VLOOKUP(D514,'Daftar Akun'!A$6:$B$103,2,FALSE),"")</f>
        <v>Pembelian Bunga</v>
      </c>
      <c r="F514" s="122">
        <v>372000.0</v>
      </c>
      <c r="G514" s="129"/>
      <c r="H514" s="34"/>
      <c r="I514" s="68">
        <f t="shared" si="1"/>
        <v>89</v>
      </c>
      <c r="J514" s="68" t="str">
        <f t="shared" si="2"/>
        <v>5101-89</v>
      </c>
      <c r="K514" s="71" t="str">
        <f>E515</f>
        <v>Hutang Dagang</v>
      </c>
      <c r="L514" s="34" t="str">
        <f t="shared" si="3"/>
        <v>2101</v>
      </c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5.75" customHeight="1">
      <c r="A515" s="118">
        <v>46255.0</v>
      </c>
      <c r="B515" s="119" t="s">
        <v>522</v>
      </c>
      <c r="C515" s="120" t="s">
        <v>258</v>
      </c>
      <c r="D515" s="121" t="s">
        <v>67</v>
      </c>
      <c r="E515" s="43" t="str">
        <f>IFERROR(VLOOKUP(D515,'Daftar Akun'!A$6:$B$103,2,FALSE),"")</f>
        <v>Hutang Dagang</v>
      </c>
      <c r="F515" s="129"/>
      <c r="G515" s="122">
        <v>372000.0</v>
      </c>
      <c r="H515" s="34"/>
      <c r="I515" s="68">
        <f t="shared" si="1"/>
        <v>20</v>
      </c>
      <c r="J515" s="68" t="str">
        <f t="shared" si="2"/>
        <v>2101-20</v>
      </c>
      <c r="K515" s="71" t="str">
        <f>E514</f>
        <v>Pembelian Bunga</v>
      </c>
      <c r="L515" s="34" t="str">
        <f t="shared" si="3"/>
        <v>5101</v>
      </c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5.75" customHeight="1">
      <c r="A516" s="118">
        <v>46255.0</v>
      </c>
      <c r="B516" s="119" t="s">
        <v>523</v>
      </c>
      <c r="C516" s="120" t="s">
        <v>524</v>
      </c>
      <c r="D516" s="121" t="s">
        <v>53</v>
      </c>
      <c r="E516" s="43" t="str">
        <f>IFERROR(VLOOKUP(D516,'Daftar Akun'!A$6:$B$103,2,FALSE),"")</f>
        <v>Perlengkapan</v>
      </c>
      <c r="F516" s="122">
        <v>25000.0</v>
      </c>
      <c r="G516" s="129"/>
      <c r="H516" s="34"/>
      <c r="I516" s="68">
        <f t="shared" si="1"/>
        <v>6</v>
      </c>
      <c r="J516" s="68" t="str">
        <f t="shared" si="2"/>
        <v>1108-6</v>
      </c>
      <c r="K516" s="71" t="str">
        <f>E517</f>
        <v>Kas</v>
      </c>
      <c r="L516" s="34" t="str">
        <f t="shared" si="3"/>
        <v>1101</v>
      </c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5.75" customHeight="1">
      <c r="A517" s="118">
        <v>46255.0</v>
      </c>
      <c r="B517" s="119" t="s">
        <v>523</v>
      </c>
      <c r="C517" s="120" t="s">
        <v>524</v>
      </c>
      <c r="D517" s="121" t="s">
        <v>18</v>
      </c>
      <c r="E517" s="43" t="str">
        <f>IFERROR(VLOOKUP(D517,'Daftar Akun'!A$6:$B$103,2,FALSE),"")</f>
        <v>Kas</v>
      </c>
      <c r="F517" s="129"/>
      <c r="G517" s="122">
        <v>25000.0</v>
      </c>
      <c r="H517" s="34"/>
      <c r="I517" s="68">
        <f t="shared" si="1"/>
        <v>90</v>
      </c>
      <c r="J517" s="68" t="str">
        <f t="shared" si="2"/>
        <v>1101-90</v>
      </c>
      <c r="K517" s="71" t="str">
        <f>E516</f>
        <v>Perlengkapan</v>
      </c>
      <c r="L517" s="34" t="str">
        <f t="shared" si="3"/>
        <v>1108</v>
      </c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5.75" customHeight="1">
      <c r="A518" s="118">
        <v>46255.0</v>
      </c>
      <c r="B518" s="119" t="s">
        <v>525</v>
      </c>
      <c r="C518" s="120" t="s">
        <v>526</v>
      </c>
      <c r="D518" s="121" t="s">
        <v>53</v>
      </c>
      <c r="E518" s="43" t="str">
        <f>IFERROR(VLOOKUP(D518,'Daftar Akun'!A$6:$B$103,2,FALSE),"")</f>
        <v>Perlengkapan</v>
      </c>
      <c r="F518" s="122">
        <v>79000.0</v>
      </c>
      <c r="G518" s="129"/>
      <c r="H518" s="34"/>
      <c r="I518" s="68">
        <f t="shared" si="1"/>
        <v>7</v>
      </c>
      <c r="J518" s="68" t="str">
        <f t="shared" si="2"/>
        <v>1108-7</v>
      </c>
      <c r="K518" s="71" t="str">
        <f>E519</f>
        <v>Kas</v>
      </c>
      <c r="L518" s="34" t="str">
        <f t="shared" si="3"/>
        <v>1101</v>
      </c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5.75" customHeight="1">
      <c r="A519" s="118">
        <v>46255.0</v>
      </c>
      <c r="B519" s="119" t="s">
        <v>525</v>
      </c>
      <c r="C519" s="120" t="s">
        <v>526</v>
      </c>
      <c r="D519" s="121" t="s">
        <v>18</v>
      </c>
      <c r="E519" s="43" t="str">
        <f>IFERROR(VLOOKUP(D519,'Daftar Akun'!A$6:$B$103,2,FALSE),"")</f>
        <v>Kas</v>
      </c>
      <c r="F519" s="129"/>
      <c r="G519" s="122">
        <v>79000.0</v>
      </c>
      <c r="H519" s="34"/>
      <c r="I519" s="68">
        <f t="shared" si="1"/>
        <v>91</v>
      </c>
      <c r="J519" s="68" t="str">
        <f t="shared" si="2"/>
        <v>1101-91</v>
      </c>
      <c r="K519" s="71" t="str">
        <f>E518</f>
        <v>Perlengkapan</v>
      </c>
      <c r="L519" s="34" t="str">
        <f t="shared" si="3"/>
        <v>1108</v>
      </c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5.75" customHeight="1">
      <c r="A520" s="118">
        <v>46255.0</v>
      </c>
      <c r="B520" s="131"/>
      <c r="C520" s="120" t="s">
        <v>527</v>
      </c>
      <c r="D520" s="121" t="s">
        <v>121</v>
      </c>
      <c r="E520" s="43" t="str">
        <f>IFERROR(VLOOKUP(D520,'Daftar Akun'!A$6:$B$103,2,FALSE),"")</f>
        <v>Beban Lain-Lain</v>
      </c>
      <c r="F520" s="122">
        <v>2000.0</v>
      </c>
      <c r="G520" s="129"/>
      <c r="H520" s="34"/>
      <c r="I520" s="68">
        <f t="shared" si="1"/>
        <v>17</v>
      </c>
      <c r="J520" s="68" t="str">
        <f t="shared" si="2"/>
        <v>6108-17</v>
      </c>
      <c r="K520" s="71" t="str">
        <f>E521</f>
        <v>Kas</v>
      </c>
      <c r="L520" s="34" t="str">
        <f t="shared" si="3"/>
        <v>1101</v>
      </c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5.75" customHeight="1">
      <c r="A521" s="118">
        <v>46255.0</v>
      </c>
      <c r="B521" s="131"/>
      <c r="C521" s="120" t="s">
        <v>527</v>
      </c>
      <c r="D521" s="121" t="s">
        <v>18</v>
      </c>
      <c r="E521" s="43" t="str">
        <f>IFERROR(VLOOKUP(D521,'Daftar Akun'!A$6:$B$103,2,FALSE),"")</f>
        <v>Kas</v>
      </c>
      <c r="F521" s="129"/>
      <c r="G521" s="122">
        <v>2000.0</v>
      </c>
      <c r="H521" s="34"/>
      <c r="I521" s="68">
        <f t="shared" si="1"/>
        <v>92</v>
      </c>
      <c r="J521" s="68" t="str">
        <f t="shared" si="2"/>
        <v>1101-92</v>
      </c>
      <c r="K521" s="71" t="str">
        <f>E520</f>
        <v>Beban Lain-Lain</v>
      </c>
      <c r="L521" s="34" t="str">
        <f t="shared" si="3"/>
        <v>6108</v>
      </c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5.75" customHeight="1">
      <c r="A522" s="118">
        <v>46255.0</v>
      </c>
      <c r="B522" s="131"/>
      <c r="C522" s="120" t="s">
        <v>160</v>
      </c>
      <c r="D522" s="121" t="s">
        <v>18</v>
      </c>
      <c r="E522" s="43" t="str">
        <f>IFERROR(VLOOKUP(D522,'Daftar Akun'!A$6:$B$103,2,FALSE),"")</f>
        <v>Kas</v>
      </c>
      <c r="F522" s="122">
        <v>1000000.0</v>
      </c>
      <c r="G522" s="129"/>
      <c r="H522" s="34"/>
      <c r="I522" s="68">
        <f t="shared" si="1"/>
        <v>93</v>
      </c>
      <c r="J522" s="68" t="str">
        <f t="shared" si="2"/>
        <v>1101-93</v>
      </c>
      <c r="K522" s="71" t="str">
        <f>E523</f>
        <v>Bank</v>
      </c>
      <c r="L522" s="34" t="str">
        <f t="shared" si="3"/>
        <v>1102</v>
      </c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5.75" customHeight="1">
      <c r="A523" s="118">
        <v>46255.0</v>
      </c>
      <c r="B523" s="131"/>
      <c r="C523" s="120" t="s">
        <v>160</v>
      </c>
      <c r="D523" s="121" t="s">
        <v>33</v>
      </c>
      <c r="E523" s="43" t="str">
        <f>IFERROR(VLOOKUP(D523,'Daftar Akun'!A$6:$B$103,2,FALSE),"")</f>
        <v>Bank</v>
      </c>
      <c r="F523" s="129"/>
      <c r="G523" s="122">
        <v>1000000.0</v>
      </c>
      <c r="H523" s="34"/>
      <c r="I523" s="68">
        <f t="shared" si="1"/>
        <v>106</v>
      </c>
      <c r="J523" s="68" t="str">
        <f t="shared" si="2"/>
        <v>1102-106</v>
      </c>
      <c r="K523" s="71" t="str">
        <f>E522</f>
        <v>Kas</v>
      </c>
      <c r="L523" s="34" t="str">
        <f t="shared" si="3"/>
        <v>1101</v>
      </c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5.75" customHeight="1">
      <c r="A524" s="118">
        <v>46255.0</v>
      </c>
      <c r="B524" s="119" t="s">
        <v>528</v>
      </c>
      <c r="C524" s="120" t="s">
        <v>529</v>
      </c>
      <c r="D524" s="121" t="s">
        <v>121</v>
      </c>
      <c r="E524" s="43" t="str">
        <f>IFERROR(VLOOKUP(D524,'Daftar Akun'!A$6:$B$103,2,FALSE),"")</f>
        <v>Beban Lain-Lain</v>
      </c>
      <c r="F524" s="122">
        <v>43000.0</v>
      </c>
      <c r="G524" s="129"/>
      <c r="H524" s="34"/>
      <c r="I524" s="68">
        <f t="shared" si="1"/>
        <v>18</v>
      </c>
      <c r="J524" s="68" t="str">
        <f t="shared" si="2"/>
        <v>6108-18</v>
      </c>
      <c r="K524" s="71" t="str">
        <f>E525</f>
        <v>Kas</v>
      </c>
      <c r="L524" s="34" t="str">
        <f t="shared" si="3"/>
        <v>1101</v>
      </c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5.75" customHeight="1">
      <c r="A525" s="118">
        <v>46255.0</v>
      </c>
      <c r="B525" s="119" t="s">
        <v>528</v>
      </c>
      <c r="C525" s="120" t="s">
        <v>529</v>
      </c>
      <c r="D525" s="121" t="s">
        <v>18</v>
      </c>
      <c r="E525" s="43" t="str">
        <f>IFERROR(VLOOKUP(D525,'Daftar Akun'!A$6:$B$103,2,FALSE),"")</f>
        <v>Kas</v>
      </c>
      <c r="F525" s="129"/>
      <c r="G525" s="122">
        <v>43000.0</v>
      </c>
      <c r="H525" s="34"/>
      <c r="I525" s="68">
        <f t="shared" si="1"/>
        <v>94</v>
      </c>
      <c r="J525" s="68" t="str">
        <f t="shared" si="2"/>
        <v>1101-94</v>
      </c>
      <c r="K525" s="71" t="str">
        <f>E524</f>
        <v>Beban Lain-Lain</v>
      </c>
      <c r="L525" s="34" t="str">
        <f t="shared" si="3"/>
        <v>6108</v>
      </c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5.75" customHeight="1">
      <c r="A526" s="118">
        <v>46255.0</v>
      </c>
      <c r="B526" s="131"/>
      <c r="C526" s="120" t="s">
        <v>530</v>
      </c>
      <c r="D526" s="121" t="s">
        <v>51</v>
      </c>
      <c r="E526" s="43" t="str">
        <f>IFERROR(VLOOKUP(D526,'Daftar Akun'!A$6:$B$103,2,FALSE),"")</f>
        <v>Piutang Ongkir</v>
      </c>
      <c r="F526" s="122">
        <v>175000.0</v>
      </c>
      <c r="G526" s="129"/>
      <c r="H526" s="34"/>
      <c r="I526" s="68">
        <f t="shared" si="1"/>
        <v>38</v>
      </c>
      <c r="J526" s="68" t="str">
        <f t="shared" si="2"/>
        <v>1107-38</v>
      </c>
      <c r="K526" s="71" t="str">
        <f>E527</f>
        <v>Kas</v>
      </c>
      <c r="L526" s="34" t="str">
        <f t="shared" si="3"/>
        <v>1101</v>
      </c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5.75" customHeight="1">
      <c r="A527" s="118">
        <v>46255.0</v>
      </c>
      <c r="B527" s="131"/>
      <c r="C527" s="120" t="s">
        <v>530</v>
      </c>
      <c r="D527" s="121" t="s">
        <v>18</v>
      </c>
      <c r="E527" s="43" t="str">
        <f>IFERROR(VLOOKUP(D527,'Daftar Akun'!A$6:$B$103,2,FALSE),"")</f>
        <v>Kas</v>
      </c>
      <c r="F527" s="129"/>
      <c r="G527" s="122">
        <v>175000.0</v>
      </c>
      <c r="H527" s="34"/>
      <c r="I527" s="68">
        <f t="shared" si="1"/>
        <v>95</v>
      </c>
      <c r="J527" s="68" t="str">
        <f t="shared" si="2"/>
        <v>1101-95</v>
      </c>
      <c r="K527" s="71" t="str">
        <f>E526</f>
        <v>Piutang Ongkir</v>
      </c>
      <c r="L527" s="34" t="str">
        <f t="shared" si="3"/>
        <v>1107</v>
      </c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5.75" customHeight="1">
      <c r="A528" s="118">
        <v>46255.0</v>
      </c>
      <c r="B528" s="131"/>
      <c r="C528" s="120" t="s">
        <v>531</v>
      </c>
      <c r="D528" s="121" t="s">
        <v>33</v>
      </c>
      <c r="E528" s="43" t="str">
        <f>IFERROR(VLOOKUP(D528,'Daftar Akun'!A$6:$B$103,2,FALSE),"")</f>
        <v>Bank</v>
      </c>
      <c r="F528" s="122">
        <v>107000.0</v>
      </c>
      <c r="G528" s="129"/>
      <c r="H528" s="34"/>
      <c r="I528" s="68">
        <f t="shared" si="1"/>
        <v>107</v>
      </c>
      <c r="J528" s="68" t="str">
        <f t="shared" si="2"/>
        <v>1102-107</v>
      </c>
      <c r="K528" s="71" t="str">
        <f>E529</f>
        <v>Kas</v>
      </c>
      <c r="L528" s="34" t="str">
        <f t="shared" si="3"/>
        <v>1101</v>
      </c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5.75" customHeight="1">
      <c r="A529" s="118">
        <v>46255.0</v>
      </c>
      <c r="B529" s="131"/>
      <c r="C529" s="120" t="s">
        <v>531</v>
      </c>
      <c r="D529" s="121" t="s">
        <v>18</v>
      </c>
      <c r="E529" s="43" t="str">
        <f>IFERROR(VLOOKUP(D529,'Daftar Akun'!A$6:$B$103,2,FALSE),"")</f>
        <v>Kas</v>
      </c>
      <c r="F529" s="129"/>
      <c r="G529" s="122">
        <v>107000.0</v>
      </c>
      <c r="H529" s="34"/>
      <c r="I529" s="68">
        <f t="shared" si="1"/>
        <v>96</v>
      </c>
      <c r="J529" s="68" t="str">
        <f t="shared" si="2"/>
        <v>1101-96</v>
      </c>
      <c r="K529" s="71" t="str">
        <f>E528</f>
        <v>Bank</v>
      </c>
      <c r="L529" s="34" t="str">
        <f t="shared" si="3"/>
        <v>1102</v>
      </c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5.75" customHeight="1">
      <c r="A530" s="118">
        <v>46255.0</v>
      </c>
      <c r="B530" s="131"/>
      <c r="C530" s="120" t="s">
        <v>532</v>
      </c>
      <c r="D530" s="121" t="s">
        <v>77</v>
      </c>
      <c r="E530" s="43" t="str">
        <f>IFERROR(VLOOKUP(D530,'Daftar Akun'!A$6:$B$103,2,FALSE),"")</f>
        <v>Prive</v>
      </c>
      <c r="F530" s="122">
        <v>10000.0</v>
      </c>
      <c r="G530" s="129"/>
      <c r="H530" s="34"/>
      <c r="I530" s="68">
        <f t="shared" si="1"/>
        <v>7</v>
      </c>
      <c r="J530" s="68" t="str">
        <f t="shared" si="2"/>
        <v>3102-7</v>
      </c>
      <c r="K530" s="71" t="str">
        <f>E531</f>
        <v>Kas</v>
      </c>
      <c r="L530" s="34" t="str">
        <f t="shared" si="3"/>
        <v>1101</v>
      </c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5.75" customHeight="1">
      <c r="A531" s="118">
        <v>46255.0</v>
      </c>
      <c r="B531" s="131"/>
      <c r="C531" s="120" t="s">
        <v>532</v>
      </c>
      <c r="D531" s="121" t="s">
        <v>18</v>
      </c>
      <c r="E531" s="43" t="str">
        <f>IFERROR(VLOOKUP(D531,'Daftar Akun'!A$6:$B$103,2,FALSE),"")</f>
        <v>Kas</v>
      </c>
      <c r="F531" s="129"/>
      <c r="G531" s="122">
        <v>10000.0</v>
      </c>
      <c r="H531" s="34"/>
      <c r="I531" s="68">
        <f t="shared" si="1"/>
        <v>97</v>
      </c>
      <c r="J531" s="68" t="str">
        <f t="shared" si="2"/>
        <v>1101-97</v>
      </c>
      <c r="K531" s="71" t="str">
        <f>E530</f>
        <v>Prive</v>
      </c>
      <c r="L531" s="34" t="str">
        <f t="shared" si="3"/>
        <v>3102</v>
      </c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5.75" customHeight="1">
      <c r="A532" s="118">
        <v>46255.0</v>
      </c>
      <c r="B532" s="119" t="s">
        <v>533</v>
      </c>
      <c r="C532" s="120" t="s">
        <v>459</v>
      </c>
      <c r="D532" s="121" t="s">
        <v>121</v>
      </c>
      <c r="E532" s="43" t="str">
        <f>IFERROR(VLOOKUP(D532,'Daftar Akun'!A$6:$B$103,2,FALSE),"")</f>
        <v>Beban Lain-Lain</v>
      </c>
      <c r="F532" s="122">
        <v>30000.0</v>
      </c>
      <c r="G532" s="129"/>
      <c r="H532" s="34"/>
      <c r="I532" s="68">
        <f t="shared" si="1"/>
        <v>19</v>
      </c>
      <c r="J532" s="68" t="str">
        <f t="shared" si="2"/>
        <v>6108-19</v>
      </c>
      <c r="K532" s="71" t="str">
        <f>E533</f>
        <v>Kas</v>
      </c>
      <c r="L532" s="34" t="str">
        <f t="shared" si="3"/>
        <v>1101</v>
      </c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5.75" customHeight="1">
      <c r="A533" s="118">
        <v>46255.0</v>
      </c>
      <c r="B533" s="119" t="s">
        <v>533</v>
      </c>
      <c r="C533" s="120" t="s">
        <v>459</v>
      </c>
      <c r="D533" s="121" t="s">
        <v>18</v>
      </c>
      <c r="E533" s="43" t="str">
        <f>IFERROR(VLOOKUP(D533,'Daftar Akun'!A$6:$B$103,2,FALSE),"")</f>
        <v>Kas</v>
      </c>
      <c r="F533" s="129"/>
      <c r="G533" s="122">
        <v>30000.0</v>
      </c>
      <c r="H533" s="34"/>
      <c r="I533" s="68">
        <f t="shared" si="1"/>
        <v>98</v>
      </c>
      <c r="J533" s="68" t="str">
        <f t="shared" si="2"/>
        <v>1101-98</v>
      </c>
      <c r="K533" s="71" t="str">
        <f>E532</f>
        <v>Beban Lain-Lain</v>
      </c>
      <c r="L533" s="34" t="str">
        <f t="shared" si="3"/>
        <v>6108</v>
      </c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5.75" customHeight="1">
      <c r="A534" s="118">
        <v>46255.0</v>
      </c>
      <c r="B534" s="119" t="s">
        <v>534</v>
      </c>
      <c r="C534" s="120" t="s">
        <v>249</v>
      </c>
      <c r="D534" s="121" t="s">
        <v>93</v>
      </c>
      <c r="E534" s="43" t="str">
        <f>IFERROR(VLOOKUP(D534,'Daftar Akun'!A$6:$B$103,2,FALSE),"")</f>
        <v>Pembelian Bunga</v>
      </c>
      <c r="F534" s="122">
        <v>505000.0</v>
      </c>
      <c r="G534" s="129"/>
      <c r="H534" s="34"/>
      <c r="I534" s="68">
        <f t="shared" si="1"/>
        <v>90</v>
      </c>
      <c r="J534" s="68" t="str">
        <f t="shared" si="2"/>
        <v>5101-90</v>
      </c>
      <c r="K534" s="71" t="str">
        <f>E535</f>
        <v>Kas</v>
      </c>
      <c r="L534" s="34" t="str">
        <f t="shared" si="3"/>
        <v>1101</v>
      </c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5.75" customHeight="1">
      <c r="A535" s="118">
        <v>46255.0</v>
      </c>
      <c r="B535" s="119" t="s">
        <v>534</v>
      </c>
      <c r="C535" s="120" t="s">
        <v>249</v>
      </c>
      <c r="D535" s="121" t="s">
        <v>18</v>
      </c>
      <c r="E535" s="43" t="str">
        <f>IFERROR(VLOOKUP(D535,'Daftar Akun'!A$6:$B$103,2,FALSE),"")</f>
        <v>Kas</v>
      </c>
      <c r="F535" s="129"/>
      <c r="G535" s="122">
        <v>505000.0</v>
      </c>
      <c r="H535" s="34"/>
      <c r="I535" s="68">
        <f t="shared" si="1"/>
        <v>99</v>
      </c>
      <c r="J535" s="68" t="str">
        <f t="shared" si="2"/>
        <v>1101-99</v>
      </c>
      <c r="K535" s="71" t="str">
        <f>E534</f>
        <v>Pembelian Bunga</v>
      </c>
      <c r="L535" s="34" t="str">
        <f t="shared" si="3"/>
        <v>5101</v>
      </c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5.75" customHeight="1">
      <c r="A536" s="118">
        <v>46255.0</v>
      </c>
      <c r="B536" s="131"/>
      <c r="C536" s="120" t="s">
        <v>422</v>
      </c>
      <c r="D536" s="121" t="s">
        <v>93</v>
      </c>
      <c r="E536" s="43" t="str">
        <f>IFERROR(VLOOKUP(D536,'Daftar Akun'!A$6:$B$103,2,FALSE),"")</f>
        <v>Pembelian Bunga</v>
      </c>
      <c r="F536" s="122">
        <v>340000.0</v>
      </c>
      <c r="G536" s="129"/>
      <c r="H536" s="34"/>
      <c r="I536" s="68">
        <f t="shared" si="1"/>
        <v>91</v>
      </c>
      <c r="J536" s="68" t="str">
        <f t="shared" si="2"/>
        <v>5101-91</v>
      </c>
      <c r="K536" s="71" t="str">
        <f>E537</f>
        <v>Bank</v>
      </c>
      <c r="L536" s="34" t="str">
        <f t="shared" si="3"/>
        <v>1102</v>
      </c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5.75" customHeight="1">
      <c r="A537" s="118">
        <v>46255.0</v>
      </c>
      <c r="B537" s="131"/>
      <c r="C537" s="120" t="s">
        <v>422</v>
      </c>
      <c r="D537" s="121" t="s">
        <v>33</v>
      </c>
      <c r="E537" s="43" t="str">
        <f>IFERROR(VLOOKUP(D537,'Daftar Akun'!A$6:$B$103,2,FALSE),"")</f>
        <v>Bank</v>
      </c>
      <c r="F537" s="129"/>
      <c r="G537" s="122">
        <v>340000.0</v>
      </c>
      <c r="H537" s="34"/>
      <c r="I537" s="68">
        <f t="shared" si="1"/>
        <v>108</v>
      </c>
      <c r="J537" s="68" t="str">
        <f t="shared" si="2"/>
        <v>1102-108</v>
      </c>
      <c r="K537" s="71" t="str">
        <f>E536</f>
        <v>Pembelian Bunga</v>
      </c>
      <c r="L537" s="34" t="str">
        <f t="shared" si="3"/>
        <v>5101</v>
      </c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5.75" customHeight="1">
      <c r="A538" s="118">
        <v>46255.0</v>
      </c>
      <c r="B538" s="131"/>
      <c r="C538" s="120" t="s">
        <v>511</v>
      </c>
      <c r="D538" s="121" t="s">
        <v>100</v>
      </c>
      <c r="E538" s="43" t="str">
        <f>IFERROR(VLOOKUP(D538,'Daftar Akun'!A$6:$B$103,2,FALSE),"")</f>
        <v>Beban Angkut Pembelian</v>
      </c>
      <c r="F538" s="122">
        <v>50000.0</v>
      </c>
      <c r="G538" s="129"/>
      <c r="H538" s="34"/>
      <c r="I538" s="68">
        <f t="shared" si="1"/>
        <v>6</v>
      </c>
      <c r="J538" s="68" t="str">
        <f t="shared" si="2"/>
        <v>5103-6</v>
      </c>
      <c r="K538" s="71" t="str">
        <f>E539</f>
        <v>Bank</v>
      </c>
      <c r="L538" s="34" t="str">
        <f t="shared" si="3"/>
        <v>1102</v>
      </c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5.75" customHeight="1">
      <c r="A539" s="118">
        <v>46255.0</v>
      </c>
      <c r="B539" s="131"/>
      <c r="C539" s="120" t="s">
        <v>511</v>
      </c>
      <c r="D539" s="121" t="s">
        <v>33</v>
      </c>
      <c r="E539" s="43" t="str">
        <f>IFERROR(VLOOKUP(D539,'Daftar Akun'!A$6:$B$103,2,FALSE),"")</f>
        <v>Bank</v>
      </c>
      <c r="F539" s="129"/>
      <c r="G539" s="122">
        <v>50000.0</v>
      </c>
      <c r="H539" s="34"/>
      <c r="I539" s="68">
        <f t="shared" si="1"/>
        <v>109</v>
      </c>
      <c r="J539" s="68" t="str">
        <f t="shared" si="2"/>
        <v>1102-109</v>
      </c>
      <c r="K539" s="71" t="str">
        <f>E538</f>
        <v>Beban Angkut Pembelian</v>
      </c>
      <c r="L539" s="34" t="str">
        <f t="shared" si="3"/>
        <v>5103</v>
      </c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5.75" customHeight="1">
      <c r="A540" s="118">
        <v>46255.0</v>
      </c>
      <c r="B540" s="131"/>
      <c r="C540" s="120" t="s">
        <v>535</v>
      </c>
      <c r="D540" s="121" t="s">
        <v>80</v>
      </c>
      <c r="E540" s="43" t="str">
        <f>IFERROR(VLOOKUP(D540,'Daftar Akun'!A$6:$B$103,2,FALSE),"")</f>
        <v>Penjualan</v>
      </c>
      <c r="F540" s="122">
        <v>75000.0</v>
      </c>
      <c r="G540" s="129"/>
      <c r="H540" s="34"/>
      <c r="I540" s="68">
        <f t="shared" si="1"/>
        <v>62</v>
      </c>
      <c r="J540" s="68" t="str">
        <f t="shared" si="2"/>
        <v>4101-62</v>
      </c>
      <c r="K540" s="71" t="str">
        <f>E541</f>
        <v>Bank</v>
      </c>
      <c r="L540" s="34" t="str">
        <f t="shared" si="3"/>
        <v>1102</v>
      </c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5.75" customHeight="1">
      <c r="A541" s="118">
        <v>46255.0</v>
      </c>
      <c r="B541" s="131"/>
      <c r="C541" s="120" t="s">
        <v>535</v>
      </c>
      <c r="D541" s="121" t="s">
        <v>33</v>
      </c>
      <c r="E541" s="43" t="str">
        <f>IFERROR(VLOOKUP(D541,'Daftar Akun'!A$6:$B$103,2,FALSE),"")</f>
        <v>Bank</v>
      </c>
      <c r="F541" s="129"/>
      <c r="G541" s="122">
        <v>75000.0</v>
      </c>
      <c r="H541" s="34"/>
      <c r="I541" s="68">
        <f t="shared" si="1"/>
        <v>110</v>
      </c>
      <c r="J541" s="68" t="str">
        <f t="shared" si="2"/>
        <v>1102-110</v>
      </c>
      <c r="K541" s="71" t="str">
        <f>E540</f>
        <v>Penjualan</v>
      </c>
      <c r="L541" s="34" t="str">
        <f t="shared" si="3"/>
        <v>4101</v>
      </c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5.75" customHeight="1">
      <c r="A542" s="118">
        <v>46255.0</v>
      </c>
      <c r="B542" s="119" t="s">
        <v>536</v>
      </c>
      <c r="C542" s="120" t="s">
        <v>537</v>
      </c>
      <c r="D542" s="121" t="s">
        <v>36</v>
      </c>
      <c r="E542" s="43" t="str">
        <f>IFERROR(VLOOKUP(D542,'Daftar Akun'!A$6:$B$103,2,FALSE),"")</f>
        <v>Piutang Dagang</v>
      </c>
      <c r="F542" s="122">
        <v>547000.0</v>
      </c>
      <c r="G542" s="129"/>
      <c r="H542" s="34"/>
      <c r="I542" s="68">
        <f t="shared" si="1"/>
        <v>64</v>
      </c>
      <c r="J542" s="68" t="str">
        <f t="shared" si="2"/>
        <v>1103-64</v>
      </c>
      <c r="K542" s="71" t="str">
        <f>E543</f>
        <v>Penjualan</v>
      </c>
      <c r="L542" s="34" t="str">
        <f t="shared" si="3"/>
        <v>4101</v>
      </c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5.75" customHeight="1">
      <c r="A543" s="118">
        <v>46255.0</v>
      </c>
      <c r="B543" s="119" t="s">
        <v>536</v>
      </c>
      <c r="C543" s="120" t="s">
        <v>537</v>
      </c>
      <c r="D543" s="121" t="s">
        <v>80</v>
      </c>
      <c r="E543" s="43" t="str">
        <f>IFERROR(VLOOKUP(D543,'Daftar Akun'!A$6:$B$103,2,FALSE),"")</f>
        <v>Penjualan</v>
      </c>
      <c r="F543" s="129"/>
      <c r="G543" s="122">
        <v>547000.0</v>
      </c>
      <c r="H543" s="34"/>
      <c r="I543" s="68">
        <f t="shared" si="1"/>
        <v>63</v>
      </c>
      <c r="J543" s="68" t="str">
        <f t="shared" si="2"/>
        <v>4101-63</v>
      </c>
      <c r="K543" s="71" t="str">
        <f>E542</f>
        <v>Piutang Dagang</v>
      </c>
      <c r="L543" s="34" t="str">
        <f t="shared" si="3"/>
        <v>1103</v>
      </c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5.75" customHeight="1">
      <c r="A544" s="118">
        <v>46255.0</v>
      </c>
      <c r="B544" s="119" t="s">
        <v>538</v>
      </c>
      <c r="C544" s="120" t="s">
        <v>539</v>
      </c>
      <c r="D544" s="121" t="s">
        <v>36</v>
      </c>
      <c r="E544" s="43" t="str">
        <f>IFERROR(VLOOKUP(D544,'Daftar Akun'!A$6:$B$103,2,FALSE),"")</f>
        <v>Piutang Dagang</v>
      </c>
      <c r="F544" s="122">
        <v>202500.0</v>
      </c>
      <c r="G544" s="129"/>
      <c r="H544" s="34"/>
      <c r="I544" s="68">
        <f t="shared" si="1"/>
        <v>65</v>
      </c>
      <c r="J544" s="68" t="str">
        <f t="shared" si="2"/>
        <v>1103-65</v>
      </c>
      <c r="K544" s="71" t="str">
        <f>E545</f>
        <v>Penjualan</v>
      </c>
      <c r="L544" s="34" t="str">
        <f t="shared" si="3"/>
        <v>4101</v>
      </c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5.75" customHeight="1">
      <c r="A545" s="118">
        <v>46255.0</v>
      </c>
      <c r="B545" s="119" t="s">
        <v>538</v>
      </c>
      <c r="C545" s="120" t="s">
        <v>539</v>
      </c>
      <c r="D545" s="121" t="s">
        <v>80</v>
      </c>
      <c r="E545" s="43" t="str">
        <f>IFERROR(VLOOKUP(D545,'Daftar Akun'!A$6:$B$103,2,FALSE),"")</f>
        <v>Penjualan</v>
      </c>
      <c r="F545" s="129"/>
      <c r="G545" s="122">
        <v>202500.0</v>
      </c>
      <c r="H545" s="34"/>
      <c r="I545" s="68">
        <f t="shared" si="1"/>
        <v>64</v>
      </c>
      <c r="J545" s="68" t="str">
        <f t="shared" si="2"/>
        <v>4101-64</v>
      </c>
      <c r="K545" s="71" t="str">
        <f>E544</f>
        <v>Piutang Dagang</v>
      </c>
      <c r="L545" s="34" t="str">
        <f t="shared" si="3"/>
        <v>1103</v>
      </c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5.75" customHeight="1">
      <c r="A546" s="118">
        <v>46255.0</v>
      </c>
      <c r="B546" s="119" t="s">
        <v>540</v>
      </c>
      <c r="C546" s="120" t="s">
        <v>242</v>
      </c>
      <c r="D546" s="121" t="s">
        <v>36</v>
      </c>
      <c r="E546" s="43" t="str">
        <f>IFERROR(VLOOKUP(D546,'Daftar Akun'!A$6:$B$103,2,FALSE),"")</f>
        <v>Piutang Dagang</v>
      </c>
      <c r="F546" s="122">
        <v>1238000.0</v>
      </c>
      <c r="G546" s="129"/>
      <c r="H546" s="34"/>
      <c r="I546" s="68">
        <f t="shared" si="1"/>
        <v>66</v>
      </c>
      <c r="J546" s="68" t="str">
        <f t="shared" si="2"/>
        <v>1103-66</v>
      </c>
      <c r="K546" s="71" t="str">
        <f>E547</f>
        <v>Penjualan</v>
      </c>
      <c r="L546" s="34" t="str">
        <f t="shared" si="3"/>
        <v>4101</v>
      </c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5.75" customHeight="1">
      <c r="A547" s="118">
        <v>46255.0</v>
      </c>
      <c r="B547" s="119" t="s">
        <v>540</v>
      </c>
      <c r="C547" s="120" t="s">
        <v>242</v>
      </c>
      <c r="D547" s="121" t="s">
        <v>80</v>
      </c>
      <c r="E547" s="43" t="str">
        <f>IFERROR(VLOOKUP(D547,'Daftar Akun'!A$6:$B$103,2,FALSE),"")</f>
        <v>Penjualan</v>
      </c>
      <c r="F547" s="129"/>
      <c r="G547" s="122">
        <v>1238000.0</v>
      </c>
      <c r="H547" s="34"/>
      <c r="I547" s="68">
        <f t="shared" si="1"/>
        <v>65</v>
      </c>
      <c r="J547" s="68" t="str">
        <f t="shared" si="2"/>
        <v>4101-65</v>
      </c>
      <c r="K547" s="71" t="str">
        <f>E546</f>
        <v>Piutang Dagang</v>
      </c>
      <c r="L547" s="34" t="str">
        <f t="shared" si="3"/>
        <v>1103</v>
      </c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5.75" customHeight="1">
      <c r="A548" s="118">
        <v>46255.0</v>
      </c>
      <c r="B548" s="119" t="s">
        <v>541</v>
      </c>
      <c r="C548" s="120" t="s">
        <v>451</v>
      </c>
      <c r="D548" s="121" t="s">
        <v>36</v>
      </c>
      <c r="E548" s="43" t="str">
        <f>IFERROR(VLOOKUP(D548,'Daftar Akun'!A$6:$B$103,2,FALSE),"")</f>
        <v>Piutang Dagang</v>
      </c>
      <c r="F548" s="122">
        <v>620000.0</v>
      </c>
      <c r="G548" s="129"/>
      <c r="H548" s="34"/>
      <c r="I548" s="68">
        <f t="shared" si="1"/>
        <v>67</v>
      </c>
      <c r="J548" s="68" t="str">
        <f t="shared" si="2"/>
        <v>1103-67</v>
      </c>
      <c r="K548" s="71" t="str">
        <f>E549</f>
        <v>Penjualan</v>
      </c>
      <c r="L548" s="34" t="str">
        <f t="shared" si="3"/>
        <v>4101</v>
      </c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5.75" customHeight="1">
      <c r="A549" s="118">
        <v>46255.0</v>
      </c>
      <c r="B549" s="119" t="s">
        <v>541</v>
      </c>
      <c r="C549" s="120" t="s">
        <v>451</v>
      </c>
      <c r="D549" s="121" t="s">
        <v>80</v>
      </c>
      <c r="E549" s="43" t="str">
        <f>IFERROR(VLOOKUP(D549,'Daftar Akun'!A$6:$B$103,2,FALSE),"")</f>
        <v>Penjualan</v>
      </c>
      <c r="F549" s="129"/>
      <c r="G549" s="122">
        <v>620000.0</v>
      </c>
      <c r="H549" s="34"/>
      <c r="I549" s="68">
        <f t="shared" si="1"/>
        <v>66</v>
      </c>
      <c r="J549" s="68" t="str">
        <f t="shared" si="2"/>
        <v>4101-66</v>
      </c>
      <c r="K549" s="71" t="str">
        <f>E548</f>
        <v>Piutang Dagang</v>
      </c>
      <c r="L549" s="34" t="str">
        <f t="shared" si="3"/>
        <v>1103</v>
      </c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5.75" customHeight="1">
      <c r="A550" s="118">
        <v>46255.0</v>
      </c>
      <c r="B550" s="131"/>
      <c r="C550" s="120" t="s">
        <v>542</v>
      </c>
      <c r="D550" s="121" t="s">
        <v>33</v>
      </c>
      <c r="E550" s="43" t="str">
        <f>IFERROR(VLOOKUP(D550,'Daftar Akun'!A$6:$B$103,2,FALSE),"")</f>
        <v>Bank</v>
      </c>
      <c r="F550" s="122">
        <v>2569040.0</v>
      </c>
      <c r="G550" s="129"/>
      <c r="H550" s="34"/>
      <c r="I550" s="68">
        <f t="shared" si="1"/>
        <v>111</v>
      </c>
      <c r="J550" s="68" t="str">
        <f t="shared" si="2"/>
        <v>1102-111</v>
      </c>
      <c r="K550" s="71" t="str">
        <f>E551</f>
        <v>Piutang Ongkir</v>
      </c>
      <c r="L550" s="34" t="str">
        <f t="shared" si="3"/>
        <v>1107</v>
      </c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5.75" customHeight="1">
      <c r="A551" s="118">
        <v>46255.0</v>
      </c>
      <c r="B551" s="131"/>
      <c r="C551" s="120" t="s">
        <v>542</v>
      </c>
      <c r="D551" s="121" t="s">
        <v>51</v>
      </c>
      <c r="E551" s="43" t="str">
        <f>IFERROR(VLOOKUP(D551,'Daftar Akun'!A$6:$B$103,2,FALSE),"")</f>
        <v>Piutang Ongkir</v>
      </c>
      <c r="F551" s="129"/>
      <c r="G551" s="122">
        <v>2569040.0</v>
      </c>
      <c r="H551" s="34"/>
      <c r="I551" s="68">
        <f t="shared" si="1"/>
        <v>39</v>
      </c>
      <c r="J551" s="68" t="str">
        <f t="shared" si="2"/>
        <v>1107-39</v>
      </c>
      <c r="K551" s="71" t="str">
        <f>E550</f>
        <v>Bank</v>
      </c>
      <c r="L551" s="34" t="str">
        <f t="shared" si="3"/>
        <v>1102</v>
      </c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5.75" customHeight="1">
      <c r="A552" s="118">
        <v>46255.0</v>
      </c>
      <c r="B552" s="131"/>
      <c r="C552" s="120" t="s">
        <v>543</v>
      </c>
      <c r="D552" s="121" t="s">
        <v>33</v>
      </c>
      <c r="E552" s="43" t="str">
        <f>IFERROR(VLOOKUP(D552,'Daftar Akun'!A$6:$B$103,2,FALSE),"")</f>
        <v>Bank</v>
      </c>
      <c r="F552" s="122">
        <v>3917500.0</v>
      </c>
      <c r="G552" s="129"/>
      <c r="H552" s="34"/>
      <c r="I552" s="68">
        <f t="shared" si="1"/>
        <v>112</v>
      </c>
      <c r="J552" s="68" t="str">
        <f t="shared" si="2"/>
        <v>1102-112</v>
      </c>
      <c r="K552" s="71" t="str">
        <f>E553</f>
        <v>Piutang Dagang</v>
      </c>
      <c r="L552" s="34" t="str">
        <f t="shared" si="3"/>
        <v>1103</v>
      </c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5.75" customHeight="1">
      <c r="A553" s="118">
        <v>46255.0</v>
      </c>
      <c r="B553" s="131"/>
      <c r="C553" s="120" t="s">
        <v>543</v>
      </c>
      <c r="D553" s="121" t="s">
        <v>36</v>
      </c>
      <c r="E553" s="43" t="str">
        <f>IFERROR(VLOOKUP(D553,'Daftar Akun'!A$6:$B$103,2,FALSE),"")</f>
        <v>Piutang Dagang</v>
      </c>
      <c r="F553" s="129"/>
      <c r="G553" s="122">
        <v>3917500.0</v>
      </c>
      <c r="H553" s="34"/>
      <c r="I553" s="68">
        <f t="shared" si="1"/>
        <v>68</v>
      </c>
      <c r="J553" s="68" t="str">
        <f t="shared" si="2"/>
        <v>1103-68</v>
      </c>
      <c r="K553" s="71" t="str">
        <f>E552</f>
        <v>Bank</v>
      </c>
      <c r="L553" s="34" t="str">
        <f t="shared" si="3"/>
        <v>1102</v>
      </c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5.75" customHeight="1">
      <c r="A554" s="118">
        <v>46256.0</v>
      </c>
      <c r="B554" s="131"/>
      <c r="C554" s="120" t="s">
        <v>544</v>
      </c>
      <c r="D554" s="121" t="s">
        <v>51</v>
      </c>
      <c r="E554" s="43" t="str">
        <f>IFERROR(VLOOKUP(D554,'Daftar Akun'!A$6:$B$103,2,FALSE),"")</f>
        <v>Piutang Ongkir</v>
      </c>
      <c r="F554" s="122">
        <v>2570064.0</v>
      </c>
      <c r="G554" s="129"/>
      <c r="H554" s="34"/>
      <c r="I554" s="68">
        <f t="shared" si="1"/>
        <v>40</v>
      </c>
      <c r="J554" s="68" t="str">
        <f t="shared" si="2"/>
        <v>1107-40</v>
      </c>
      <c r="K554" s="71" t="str">
        <f>E555</f>
        <v>Bank</v>
      </c>
      <c r="L554" s="34" t="str">
        <f t="shared" si="3"/>
        <v>1102</v>
      </c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5.75" customHeight="1">
      <c r="A555" s="118">
        <v>46256.0</v>
      </c>
      <c r="B555" s="131"/>
      <c r="C555" s="120" t="s">
        <v>544</v>
      </c>
      <c r="D555" s="121" t="s">
        <v>33</v>
      </c>
      <c r="E555" s="43" t="str">
        <f>IFERROR(VLOOKUP(D555,'Daftar Akun'!A$6:$B$103,2,FALSE),"")</f>
        <v>Bank</v>
      </c>
      <c r="F555" s="129"/>
      <c r="G555" s="122">
        <v>2570064.0</v>
      </c>
      <c r="H555" s="34"/>
      <c r="I555" s="68">
        <f t="shared" si="1"/>
        <v>113</v>
      </c>
      <c r="J555" s="68" t="str">
        <f t="shared" si="2"/>
        <v>1102-113</v>
      </c>
      <c r="K555" s="71" t="str">
        <f>E554</f>
        <v>Piutang Ongkir</v>
      </c>
      <c r="L555" s="34" t="str">
        <f t="shared" si="3"/>
        <v>1107</v>
      </c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5.75" customHeight="1">
      <c r="A556" s="118">
        <v>46256.0</v>
      </c>
      <c r="B556" s="131"/>
      <c r="C556" s="120" t="s">
        <v>94</v>
      </c>
      <c r="D556" s="121" t="s">
        <v>93</v>
      </c>
      <c r="E556" s="43" t="str">
        <f>IFERROR(VLOOKUP(D556,'Daftar Akun'!A$6:$B$103,2,FALSE),"")</f>
        <v>Pembelian Bunga</v>
      </c>
      <c r="F556" s="122">
        <v>75000.0</v>
      </c>
      <c r="G556" s="129"/>
      <c r="H556" s="34"/>
      <c r="I556" s="68">
        <f t="shared" si="1"/>
        <v>92</v>
      </c>
      <c r="J556" s="68" t="str">
        <f t="shared" si="2"/>
        <v>5101-92</v>
      </c>
      <c r="K556" s="71" t="str">
        <f>E557</f>
        <v>Kas</v>
      </c>
      <c r="L556" s="34" t="str">
        <f t="shared" si="3"/>
        <v>1101</v>
      </c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5.75" customHeight="1">
      <c r="A557" s="118">
        <v>46256.0</v>
      </c>
      <c r="B557" s="131"/>
      <c r="C557" s="120" t="s">
        <v>94</v>
      </c>
      <c r="D557" s="121" t="s">
        <v>18</v>
      </c>
      <c r="E557" s="43" t="str">
        <f>IFERROR(VLOOKUP(D557,'Daftar Akun'!A$6:$B$103,2,FALSE),"")</f>
        <v>Kas</v>
      </c>
      <c r="F557" s="129"/>
      <c r="G557" s="122">
        <v>75000.0</v>
      </c>
      <c r="H557" s="34"/>
      <c r="I557" s="68">
        <f t="shared" si="1"/>
        <v>100</v>
      </c>
      <c r="J557" s="68" t="str">
        <f t="shared" si="2"/>
        <v>1101-100</v>
      </c>
      <c r="K557" s="71" t="str">
        <f>E556</f>
        <v>Pembelian Bunga</v>
      </c>
      <c r="L557" s="34" t="str">
        <f t="shared" si="3"/>
        <v>5101</v>
      </c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5.75" customHeight="1">
      <c r="A558" s="118">
        <v>46256.0</v>
      </c>
      <c r="B558" s="131"/>
      <c r="C558" s="120" t="s">
        <v>545</v>
      </c>
      <c r="D558" s="121" t="s">
        <v>105</v>
      </c>
      <c r="E558" s="43" t="str">
        <f>IFERROR(VLOOKUP(D558,'Daftar Akun'!A$6:$B$103,2,FALSE),"")</f>
        <v>Beban Gaji</v>
      </c>
      <c r="F558" s="122">
        <v>335000.0</v>
      </c>
      <c r="G558" s="129"/>
      <c r="H558" s="34"/>
      <c r="I558" s="68">
        <f t="shared" si="1"/>
        <v>6</v>
      </c>
      <c r="J558" s="68" t="str">
        <f t="shared" si="2"/>
        <v>6101-6</v>
      </c>
      <c r="K558" s="71" t="str">
        <f>E559</f>
        <v>Kas</v>
      </c>
      <c r="L558" s="34" t="str">
        <f t="shared" si="3"/>
        <v>1101</v>
      </c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5.75" customHeight="1">
      <c r="A559" s="118">
        <v>46256.0</v>
      </c>
      <c r="B559" s="131"/>
      <c r="C559" s="120" t="s">
        <v>545</v>
      </c>
      <c r="D559" s="121" t="s">
        <v>18</v>
      </c>
      <c r="E559" s="43" t="str">
        <f>IFERROR(VLOOKUP(D559,'Daftar Akun'!A$6:$B$103,2,FALSE),"")</f>
        <v>Kas</v>
      </c>
      <c r="F559" s="129"/>
      <c r="G559" s="122">
        <v>335000.0</v>
      </c>
      <c r="H559" s="34"/>
      <c r="I559" s="68">
        <f t="shared" si="1"/>
        <v>101</v>
      </c>
      <c r="J559" s="68" t="str">
        <f t="shared" si="2"/>
        <v>1101-101</v>
      </c>
      <c r="K559" s="71" t="str">
        <f>E558</f>
        <v>Beban Gaji</v>
      </c>
      <c r="L559" s="34" t="str">
        <f t="shared" si="3"/>
        <v>6101</v>
      </c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5.75" customHeight="1">
      <c r="A560" s="118">
        <v>46256.0</v>
      </c>
      <c r="B560" s="131"/>
      <c r="C560" s="120" t="s">
        <v>546</v>
      </c>
      <c r="D560" s="121" t="s">
        <v>33</v>
      </c>
      <c r="E560" s="43" t="str">
        <f>IFERROR(VLOOKUP(D560,'Daftar Akun'!A$6:$B$103,2,FALSE),"")</f>
        <v>Bank</v>
      </c>
      <c r="F560" s="122">
        <v>2745064.0</v>
      </c>
      <c r="G560" s="129"/>
      <c r="H560" s="34"/>
      <c r="I560" s="68">
        <f t="shared" si="1"/>
        <v>114</v>
      </c>
      <c r="J560" s="68" t="str">
        <f t="shared" si="2"/>
        <v>1102-114</v>
      </c>
      <c r="K560" s="71" t="str">
        <f>E561</f>
        <v>Piutang Ongkir</v>
      </c>
      <c r="L560" s="34" t="str">
        <f t="shared" si="3"/>
        <v>1107</v>
      </c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5.75" customHeight="1">
      <c r="A561" s="118">
        <v>46256.0</v>
      </c>
      <c r="B561" s="131"/>
      <c r="C561" s="120" t="s">
        <v>546</v>
      </c>
      <c r="D561" s="121" t="s">
        <v>51</v>
      </c>
      <c r="E561" s="43" t="str">
        <f>IFERROR(VLOOKUP(D561,'Daftar Akun'!A$6:$B$103,2,FALSE),"")</f>
        <v>Piutang Ongkir</v>
      </c>
      <c r="F561" s="129"/>
      <c r="G561" s="122">
        <v>2745064.0</v>
      </c>
      <c r="H561" s="34"/>
      <c r="I561" s="68">
        <f t="shared" si="1"/>
        <v>41</v>
      </c>
      <c r="J561" s="68" t="str">
        <f t="shared" si="2"/>
        <v>1107-41</v>
      </c>
      <c r="K561" s="71" t="str">
        <f>E560</f>
        <v>Bank</v>
      </c>
      <c r="L561" s="34" t="str">
        <f t="shared" si="3"/>
        <v>1102</v>
      </c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5.75" customHeight="1">
      <c r="A562" s="118">
        <v>46256.0</v>
      </c>
      <c r="B562" s="131"/>
      <c r="C562" s="120" t="s">
        <v>547</v>
      </c>
      <c r="D562" s="121" t="s">
        <v>33</v>
      </c>
      <c r="E562" s="43" t="str">
        <f>IFERROR(VLOOKUP(D562,'Daftar Akun'!A$6:$B$103,2,FALSE),"")</f>
        <v>Bank</v>
      </c>
      <c r="F562" s="122">
        <v>2607500.0</v>
      </c>
      <c r="G562" s="129"/>
      <c r="H562" s="34"/>
      <c r="I562" s="68">
        <f t="shared" si="1"/>
        <v>115</v>
      </c>
      <c r="J562" s="68" t="str">
        <f t="shared" si="2"/>
        <v>1102-115</v>
      </c>
      <c r="K562" s="71" t="str">
        <f>E563</f>
        <v>Piutang Dagang</v>
      </c>
      <c r="L562" s="34" t="str">
        <f t="shared" si="3"/>
        <v>1103</v>
      </c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5.75" customHeight="1">
      <c r="A563" s="118">
        <v>46256.0</v>
      </c>
      <c r="B563" s="131"/>
      <c r="C563" s="120" t="s">
        <v>547</v>
      </c>
      <c r="D563" s="121" t="s">
        <v>36</v>
      </c>
      <c r="E563" s="43" t="str">
        <f>IFERROR(VLOOKUP(D563,'Daftar Akun'!A$6:$B$103,2,FALSE),"")</f>
        <v>Piutang Dagang</v>
      </c>
      <c r="F563" s="129"/>
      <c r="G563" s="122">
        <v>2607500.0</v>
      </c>
      <c r="H563" s="34"/>
      <c r="I563" s="68">
        <f t="shared" si="1"/>
        <v>69</v>
      </c>
      <c r="J563" s="68" t="str">
        <f t="shared" si="2"/>
        <v>1103-69</v>
      </c>
      <c r="K563" s="71" t="str">
        <f>E562</f>
        <v>Bank</v>
      </c>
      <c r="L563" s="34" t="str">
        <f t="shared" si="3"/>
        <v>1102</v>
      </c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5.75" customHeight="1">
      <c r="A564" s="118">
        <v>46256.0</v>
      </c>
      <c r="B564" s="131"/>
      <c r="C564" s="120" t="s">
        <v>548</v>
      </c>
      <c r="D564" s="121" t="s">
        <v>51</v>
      </c>
      <c r="E564" s="43" t="str">
        <f>IFERROR(VLOOKUP(D564,'Daftar Akun'!A$6:$B$103,2,FALSE),"")</f>
        <v>Piutang Ongkir</v>
      </c>
      <c r="F564" s="122">
        <v>773415.0</v>
      </c>
      <c r="G564" s="129"/>
      <c r="H564" s="34"/>
      <c r="I564" s="68">
        <f t="shared" si="1"/>
        <v>42</v>
      </c>
      <c r="J564" s="68" t="str">
        <f t="shared" si="2"/>
        <v>1107-42</v>
      </c>
      <c r="K564" s="71" t="str">
        <f>E565</f>
        <v>Bank</v>
      </c>
      <c r="L564" s="34" t="str">
        <f t="shared" si="3"/>
        <v>1102</v>
      </c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5.75" customHeight="1">
      <c r="A565" s="118">
        <v>46256.0</v>
      </c>
      <c r="B565" s="131"/>
      <c r="C565" s="120" t="s">
        <v>548</v>
      </c>
      <c r="D565" s="121" t="s">
        <v>33</v>
      </c>
      <c r="E565" s="43" t="str">
        <f>IFERROR(VLOOKUP(D565,'Daftar Akun'!A$6:$B$103,2,FALSE),"")</f>
        <v>Bank</v>
      </c>
      <c r="F565" s="129"/>
      <c r="G565" s="122">
        <v>773415.0</v>
      </c>
      <c r="H565" s="34"/>
      <c r="I565" s="68">
        <f t="shared" si="1"/>
        <v>116</v>
      </c>
      <c r="J565" s="68" t="str">
        <f t="shared" si="2"/>
        <v>1102-116</v>
      </c>
      <c r="K565" s="71" t="str">
        <f>E564</f>
        <v>Piutang Ongkir</v>
      </c>
      <c r="L565" s="34" t="str">
        <f t="shared" si="3"/>
        <v>1107</v>
      </c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5.75" customHeight="1">
      <c r="A566" s="118">
        <v>46256.0</v>
      </c>
      <c r="B566" s="119" t="s">
        <v>549</v>
      </c>
      <c r="C566" s="120" t="s">
        <v>550</v>
      </c>
      <c r="D566" s="121" t="s">
        <v>36</v>
      </c>
      <c r="E566" s="43" t="str">
        <f>IFERROR(VLOOKUP(D566,'Daftar Akun'!A$6:$B$103,2,FALSE),"")</f>
        <v>Piutang Dagang</v>
      </c>
      <c r="F566" s="122">
        <v>342500.0</v>
      </c>
      <c r="G566" s="129"/>
      <c r="H566" s="34"/>
      <c r="I566" s="68">
        <f t="shared" si="1"/>
        <v>70</v>
      </c>
      <c r="J566" s="68" t="str">
        <f t="shared" si="2"/>
        <v>1103-70</v>
      </c>
      <c r="K566" s="71" t="str">
        <f>E567</f>
        <v>Penjualan</v>
      </c>
      <c r="L566" s="34" t="str">
        <f t="shared" si="3"/>
        <v>4101</v>
      </c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5.75" customHeight="1">
      <c r="A567" s="118">
        <v>46256.0</v>
      </c>
      <c r="B567" s="119" t="s">
        <v>549</v>
      </c>
      <c r="C567" s="120" t="s">
        <v>550</v>
      </c>
      <c r="D567" s="121" t="s">
        <v>80</v>
      </c>
      <c r="E567" s="43" t="str">
        <f>IFERROR(VLOOKUP(D567,'Daftar Akun'!A$6:$B$103,2,FALSE),"")</f>
        <v>Penjualan</v>
      </c>
      <c r="F567" s="129"/>
      <c r="G567" s="122">
        <v>342500.0</v>
      </c>
      <c r="H567" s="34"/>
      <c r="I567" s="68">
        <f t="shared" si="1"/>
        <v>67</v>
      </c>
      <c r="J567" s="68" t="str">
        <f t="shared" si="2"/>
        <v>4101-67</v>
      </c>
      <c r="K567" s="71" t="str">
        <f>E566</f>
        <v>Piutang Dagang</v>
      </c>
      <c r="L567" s="34" t="str">
        <f t="shared" si="3"/>
        <v>1103</v>
      </c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5.75" customHeight="1">
      <c r="A568" s="118">
        <v>46256.0</v>
      </c>
      <c r="B568" s="119" t="s">
        <v>551</v>
      </c>
      <c r="C568" s="120" t="s">
        <v>198</v>
      </c>
      <c r="D568" s="121" t="s">
        <v>36</v>
      </c>
      <c r="E568" s="43" t="str">
        <f>IFERROR(VLOOKUP(D568,'Daftar Akun'!A$6:$B$103,2,FALSE),"")</f>
        <v>Piutang Dagang</v>
      </c>
      <c r="F568" s="122">
        <v>210000.0</v>
      </c>
      <c r="G568" s="129"/>
      <c r="H568" s="34"/>
      <c r="I568" s="68">
        <f t="shared" si="1"/>
        <v>71</v>
      </c>
      <c r="J568" s="68" t="str">
        <f t="shared" si="2"/>
        <v>1103-71</v>
      </c>
      <c r="K568" s="71" t="str">
        <f>E569</f>
        <v>Penjualan</v>
      </c>
      <c r="L568" s="34" t="str">
        <f t="shared" si="3"/>
        <v>4101</v>
      </c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5.75" customHeight="1">
      <c r="A569" s="118">
        <v>46256.0</v>
      </c>
      <c r="B569" s="119" t="s">
        <v>551</v>
      </c>
      <c r="C569" s="120" t="s">
        <v>198</v>
      </c>
      <c r="D569" s="121" t="s">
        <v>80</v>
      </c>
      <c r="E569" s="43" t="str">
        <f>IFERROR(VLOOKUP(D569,'Daftar Akun'!A$6:$B$103,2,FALSE),"")</f>
        <v>Penjualan</v>
      </c>
      <c r="F569" s="129"/>
      <c r="G569" s="122">
        <v>210000.0</v>
      </c>
      <c r="H569" s="34"/>
      <c r="I569" s="68">
        <f t="shared" si="1"/>
        <v>68</v>
      </c>
      <c r="J569" s="68" t="str">
        <f t="shared" si="2"/>
        <v>4101-68</v>
      </c>
      <c r="K569" s="71" t="str">
        <f>E568</f>
        <v>Piutang Dagang</v>
      </c>
      <c r="L569" s="34" t="str">
        <f t="shared" si="3"/>
        <v>1103</v>
      </c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5.75" customHeight="1">
      <c r="A570" s="118">
        <v>46258.0</v>
      </c>
      <c r="B570" s="131"/>
      <c r="C570" s="120" t="s">
        <v>160</v>
      </c>
      <c r="D570" s="121" t="s">
        <v>18</v>
      </c>
      <c r="E570" s="43" t="str">
        <f>IFERROR(VLOOKUP(D570,'Daftar Akun'!A$6:$B$103,2,FALSE),"")</f>
        <v>Kas</v>
      </c>
      <c r="F570" s="122">
        <v>2000000.0</v>
      </c>
      <c r="G570" s="129"/>
      <c r="H570" s="34"/>
      <c r="I570" s="68">
        <f t="shared" si="1"/>
        <v>102</v>
      </c>
      <c r="J570" s="68" t="str">
        <f t="shared" si="2"/>
        <v>1101-102</v>
      </c>
      <c r="K570" s="71" t="str">
        <f>E571</f>
        <v>Bank</v>
      </c>
      <c r="L570" s="34" t="str">
        <f t="shared" si="3"/>
        <v>1102</v>
      </c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5.75" customHeight="1">
      <c r="A571" s="118">
        <v>46258.0</v>
      </c>
      <c r="B571" s="131"/>
      <c r="C571" s="120" t="s">
        <v>160</v>
      </c>
      <c r="D571" s="121" t="s">
        <v>33</v>
      </c>
      <c r="E571" s="43" t="str">
        <f>IFERROR(VLOOKUP(D571,'Daftar Akun'!A$6:$B$103,2,FALSE),"")</f>
        <v>Bank</v>
      </c>
      <c r="F571" s="129"/>
      <c r="G571" s="122">
        <v>2000000.0</v>
      </c>
      <c r="H571" s="34"/>
      <c r="I571" s="68">
        <f t="shared" si="1"/>
        <v>117</v>
      </c>
      <c r="J571" s="68" t="str">
        <f t="shared" si="2"/>
        <v>1102-117</v>
      </c>
      <c r="K571" s="71" t="str">
        <f>E570</f>
        <v>Kas</v>
      </c>
      <c r="L571" s="34" t="str">
        <f t="shared" si="3"/>
        <v>1101</v>
      </c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5.75" customHeight="1">
      <c r="A572" s="118">
        <v>46258.0</v>
      </c>
      <c r="B572" s="131"/>
      <c r="C572" s="120" t="s">
        <v>552</v>
      </c>
      <c r="D572" s="121" t="s">
        <v>33</v>
      </c>
      <c r="E572" s="43" t="str">
        <f>IFERROR(VLOOKUP(D572,'Daftar Akun'!A$6:$B$103,2,FALSE),"")</f>
        <v>Bank</v>
      </c>
      <c r="F572" s="122">
        <v>773415.0</v>
      </c>
      <c r="G572" s="129"/>
      <c r="H572" s="34"/>
      <c r="I572" s="68">
        <f t="shared" si="1"/>
        <v>118</v>
      </c>
      <c r="J572" s="68" t="str">
        <f t="shared" si="2"/>
        <v>1102-118</v>
      </c>
      <c r="K572" s="71" t="str">
        <f>E573</f>
        <v>Piutang Ongkir</v>
      </c>
      <c r="L572" s="34" t="str">
        <f t="shared" si="3"/>
        <v>1107</v>
      </c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5.75" customHeight="1">
      <c r="A573" s="118">
        <v>46258.0</v>
      </c>
      <c r="B573" s="131"/>
      <c r="C573" s="120" t="s">
        <v>552</v>
      </c>
      <c r="D573" s="121" t="s">
        <v>51</v>
      </c>
      <c r="E573" s="43" t="str">
        <f>IFERROR(VLOOKUP(D573,'Daftar Akun'!A$6:$B$103,2,FALSE),"")</f>
        <v>Piutang Ongkir</v>
      </c>
      <c r="F573" s="129"/>
      <c r="G573" s="122">
        <v>773415.0</v>
      </c>
      <c r="H573" s="34"/>
      <c r="I573" s="68">
        <f t="shared" si="1"/>
        <v>43</v>
      </c>
      <c r="J573" s="68" t="str">
        <f t="shared" si="2"/>
        <v>1107-43</v>
      </c>
      <c r="K573" s="71" t="str">
        <f>E572</f>
        <v>Bank</v>
      </c>
      <c r="L573" s="34" t="str">
        <f t="shared" si="3"/>
        <v>1102</v>
      </c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5.75" customHeight="1">
      <c r="A574" s="118">
        <v>46258.0</v>
      </c>
      <c r="B574" s="131"/>
      <c r="C574" s="120" t="s">
        <v>553</v>
      </c>
      <c r="D574" s="121" t="s">
        <v>33</v>
      </c>
      <c r="E574" s="43" t="str">
        <f>IFERROR(VLOOKUP(D574,'Daftar Akun'!A$6:$B$103,2,FALSE),"")</f>
        <v>Bank</v>
      </c>
      <c r="F574" s="122">
        <v>342500.0</v>
      </c>
      <c r="G574" s="129"/>
      <c r="H574" s="34"/>
      <c r="I574" s="68">
        <f t="shared" si="1"/>
        <v>119</v>
      </c>
      <c r="J574" s="68" t="str">
        <f t="shared" si="2"/>
        <v>1102-119</v>
      </c>
      <c r="K574" s="71" t="str">
        <f>E575</f>
        <v>Piutang Dagang</v>
      </c>
      <c r="L574" s="34" t="str">
        <f t="shared" si="3"/>
        <v>1103</v>
      </c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5.75" customHeight="1">
      <c r="A575" s="118">
        <v>46258.0</v>
      </c>
      <c r="B575" s="131"/>
      <c r="C575" s="120" t="s">
        <v>553</v>
      </c>
      <c r="D575" s="121" t="s">
        <v>36</v>
      </c>
      <c r="E575" s="43" t="str">
        <f>IFERROR(VLOOKUP(D575,'Daftar Akun'!A$6:$B$103,2,FALSE),"")</f>
        <v>Piutang Dagang</v>
      </c>
      <c r="F575" s="129"/>
      <c r="G575" s="122">
        <v>342500.0</v>
      </c>
      <c r="H575" s="34"/>
      <c r="I575" s="68">
        <f t="shared" si="1"/>
        <v>72</v>
      </c>
      <c r="J575" s="68" t="str">
        <f t="shared" si="2"/>
        <v>1103-72</v>
      </c>
      <c r="K575" s="71" t="str">
        <f>E574</f>
        <v>Bank</v>
      </c>
      <c r="L575" s="34" t="str">
        <f t="shared" si="3"/>
        <v>1102</v>
      </c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5.75" customHeight="1">
      <c r="A576" s="118">
        <v>46258.0</v>
      </c>
      <c r="B576" s="119" t="s">
        <v>554</v>
      </c>
      <c r="C576" s="120" t="s">
        <v>555</v>
      </c>
      <c r="D576" s="121" t="s">
        <v>93</v>
      </c>
      <c r="E576" s="43" t="str">
        <f>IFERROR(VLOOKUP(D576,'Daftar Akun'!A$6:$B$103,2,FALSE),"")</f>
        <v>Pembelian Bunga</v>
      </c>
      <c r="F576" s="122">
        <v>150000.0</v>
      </c>
      <c r="G576" s="129"/>
      <c r="H576" s="34"/>
      <c r="I576" s="68">
        <f t="shared" si="1"/>
        <v>93</v>
      </c>
      <c r="J576" s="68" t="str">
        <f t="shared" si="2"/>
        <v>5101-93</v>
      </c>
      <c r="K576" s="71" t="str">
        <f>E577</f>
        <v>Kas</v>
      </c>
      <c r="L576" s="34" t="str">
        <f t="shared" si="3"/>
        <v>1101</v>
      </c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5.75" customHeight="1">
      <c r="A577" s="118">
        <v>46258.0</v>
      </c>
      <c r="B577" s="119" t="s">
        <v>554</v>
      </c>
      <c r="C577" s="120" t="s">
        <v>555</v>
      </c>
      <c r="D577" s="121" t="s">
        <v>18</v>
      </c>
      <c r="E577" s="43" t="str">
        <f>IFERROR(VLOOKUP(D577,'Daftar Akun'!A$6:$B$103,2,FALSE),"")</f>
        <v>Kas</v>
      </c>
      <c r="F577" s="129"/>
      <c r="G577" s="122">
        <v>150000.0</v>
      </c>
      <c r="H577" s="34"/>
      <c r="I577" s="68">
        <f t="shared" si="1"/>
        <v>103</v>
      </c>
      <c r="J577" s="68" t="str">
        <f t="shared" si="2"/>
        <v>1101-103</v>
      </c>
      <c r="K577" s="71" t="str">
        <f>E576</f>
        <v>Pembelian Bunga</v>
      </c>
      <c r="L577" s="34" t="str">
        <f t="shared" si="3"/>
        <v>5101</v>
      </c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5.75" customHeight="1">
      <c r="A578" s="118">
        <v>46258.0</v>
      </c>
      <c r="B578" s="131"/>
      <c r="C578" s="120" t="s">
        <v>556</v>
      </c>
      <c r="D578" s="121" t="s">
        <v>51</v>
      </c>
      <c r="E578" s="43" t="str">
        <f>IFERROR(VLOOKUP(D578,'Daftar Akun'!A$6:$B$103,2,FALSE),"")</f>
        <v>Piutang Ongkir</v>
      </c>
      <c r="F578" s="122">
        <v>75000.0</v>
      </c>
      <c r="G578" s="129"/>
      <c r="H578" s="34"/>
      <c r="I578" s="68">
        <f t="shared" si="1"/>
        <v>44</v>
      </c>
      <c r="J578" s="68" t="str">
        <f t="shared" si="2"/>
        <v>1107-44</v>
      </c>
      <c r="K578" s="71" t="str">
        <f>E579</f>
        <v>Kas</v>
      </c>
      <c r="L578" s="34" t="str">
        <f t="shared" si="3"/>
        <v>1101</v>
      </c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5.75" customHeight="1">
      <c r="A579" s="118">
        <v>46258.0</v>
      </c>
      <c r="B579" s="131"/>
      <c r="C579" s="120" t="s">
        <v>556</v>
      </c>
      <c r="D579" s="121" t="s">
        <v>18</v>
      </c>
      <c r="E579" s="43" t="str">
        <f>IFERROR(VLOOKUP(D579,'Daftar Akun'!A$6:$B$103,2,FALSE),"")</f>
        <v>Kas</v>
      </c>
      <c r="F579" s="129"/>
      <c r="G579" s="122">
        <v>75000.0</v>
      </c>
      <c r="H579" s="34"/>
      <c r="I579" s="68">
        <f t="shared" si="1"/>
        <v>104</v>
      </c>
      <c r="J579" s="68" t="str">
        <f t="shared" si="2"/>
        <v>1101-104</v>
      </c>
      <c r="K579" s="71" t="str">
        <f>E578</f>
        <v>Piutang Ongkir</v>
      </c>
      <c r="L579" s="34" t="str">
        <f t="shared" si="3"/>
        <v>1107</v>
      </c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5.75" customHeight="1">
      <c r="A580" s="118">
        <v>46258.0</v>
      </c>
      <c r="B580" s="131"/>
      <c r="C580" s="120" t="s">
        <v>557</v>
      </c>
      <c r="D580" s="121" t="s">
        <v>93</v>
      </c>
      <c r="E580" s="43" t="str">
        <f>IFERROR(VLOOKUP(D580,'Daftar Akun'!A$6:$B$103,2,FALSE),"")</f>
        <v>Pembelian Bunga</v>
      </c>
      <c r="F580" s="122">
        <v>136000.0</v>
      </c>
      <c r="G580" s="129"/>
      <c r="H580" s="34"/>
      <c r="I580" s="68">
        <f t="shared" si="1"/>
        <v>94</v>
      </c>
      <c r="J580" s="68" t="str">
        <f t="shared" si="2"/>
        <v>5101-94</v>
      </c>
      <c r="K580" s="71" t="str">
        <f>E581</f>
        <v>Kas</v>
      </c>
      <c r="L580" s="34" t="str">
        <f t="shared" si="3"/>
        <v>1101</v>
      </c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5.75" customHeight="1">
      <c r="A581" s="118">
        <v>46258.0</v>
      </c>
      <c r="B581" s="131"/>
      <c r="C581" s="120" t="s">
        <v>557</v>
      </c>
      <c r="D581" s="121" t="s">
        <v>18</v>
      </c>
      <c r="E581" s="43" t="str">
        <f>IFERROR(VLOOKUP(D581,'Daftar Akun'!A$6:$B$103,2,FALSE),"")</f>
        <v>Kas</v>
      </c>
      <c r="F581" s="129"/>
      <c r="G581" s="122">
        <v>136000.0</v>
      </c>
      <c r="H581" s="34"/>
      <c r="I581" s="68">
        <f t="shared" si="1"/>
        <v>105</v>
      </c>
      <c r="J581" s="68" t="str">
        <f t="shared" si="2"/>
        <v>1101-105</v>
      </c>
      <c r="K581" s="71" t="str">
        <f>E580</f>
        <v>Pembelian Bunga</v>
      </c>
      <c r="L581" s="34" t="str">
        <f t="shared" si="3"/>
        <v>5101</v>
      </c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5.75" customHeight="1">
      <c r="A582" s="118">
        <v>46258.0</v>
      </c>
      <c r="B582" s="119" t="s">
        <v>558</v>
      </c>
      <c r="C582" s="120" t="s">
        <v>559</v>
      </c>
      <c r="D582" s="121" t="s">
        <v>93</v>
      </c>
      <c r="E582" s="43" t="str">
        <f>IFERROR(VLOOKUP(D582,'Daftar Akun'!A$6:$B$103,2,FALSE),"")</f>
        <v>Pembelian Bunga</v>
      </c>
      <c r="F582" s="122">
        <v>575000.0</v>
      </c>
      <c r="G582" s="129"/>
      <c r="H582" s="34"/>
      <c r="I582" s="68">
        <f t="shared" si="1"/>
        <v>95</v>
      </c>
      <c r="J582" s="68" t="str">
        <f t="shared" si="2"/>
        <v>5101-95</v>
      </c>
      <c r="K582" s="71" t="str">
        <f>E583</f>
        <v>Kas</v>
      </c>
      <c r="L582" s="34" t="str">
        <f t="shared" si="3"/>
        <v>1101</v>
      </c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5.75" customHeight="1">
      <c r="A583" s="118">
        <v>46258.0</v>
      </c>
      <c r="B583" s="119" t="s">
        <v>558</v>
      </c>
      <c r="C583" s="120" t="s">
        <v>559</v>
      </c>
      <c r="D583" s="121" t="s">
        <v>18</v>
      </c>
      <c r="E583" s="43" t="str">
        <f>IFERROR(VLOOKUP(D583,'Daftar Akun'!A$6:$B$103,2,FALSE),"")</f>
        <v>Kas</v>
      </c>
      <c r="F583" s="129"/>
      <c r="G583" s="122">
        <v>575000.0</v>
      </c>
      <c r="H583" s="34"/>
      <c r="I583" s="68">
        <f t="shared" si="1"/>
        <v>106</v>
      </c>
      <c r="J583" s="68" t="str">
        <f t="shared" si="2"/>
        <v>1101-106</v>
      </c>
      <c r="K583" s="71" t="str">
        <f>E582</f>
        <v>Pembelian Bunga</v>
      </c>
      <c r="L583" s="34" t="str">
        <f t="shared" si="3"/>
        <v>5101</v>
      </c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5.75" customHeight="1">
      <c r="A584" s="118">
        <v>46258.0</v>
      </c>
      <c r="B584" s="131"/>
      <c r="C584" s="120" t="s">
        <v>324</v>
      </c>
      <c r="D584" s="121" t="s">
        <v>93</v>
      </c>
      <c r="E584" s="43" t="str">
        <f>IFERROR(VLOOKUP(D584,'Daftar Akun'!A$6:$B$103,2,FALSE),"")</f>
        <v>Pembelian Bunga</v>
      </c>
      <c r="F584" s="122">
        <v>645000.0</v>
      </c>
      <c r="G584" s="129"/>
      <c r="H584" s="34"/>
      <c r="I584" s="68">
        <f t="shared" si="1"/>
        <v>96</v>
      </c>
      <c r="J584" s="68" t="str">
        <f t="shared" si="2"/>
        <v>5101-96</v>
      </c>
      <c r="K584" s="71" t="str">
        <f>E585</f>
        <v>Bank</v>
      </c>
      <c r="L584" s="34" t="str">
        <f t="shared" si="3"/>
        <v>1102</v>
      </c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5.75" customHeight="1">
      <c r="A585" s="118">
        <v>46258.0</v>
      </c>
      <c r="B585" s="131"/>
      <c r="C585" s="120" t="s">
        <v>324</v>
      </c>
      <c r="D585" s="121" t="s">
        <v>33</v>
      </c>
      <c r="E585" s="43" t="str">
        <f>IFERROR(VLOOKUP(D585,'Daftar Akun'!A$6:$B$103,2,FALSE),"")</f>
        <v>Bank</v>
      </c>
      <c r="F585" s="129"/>
      <c r="G585" s="122">
        <v>645000.0</v>
      </c>
      <c r="H585" s="34"/>
      <c r="I585" s="68">
        <f t="shared" si="1"/>
        <v>120</v>
      </c>
      <c r="J585" s="68" t="str">
        <f t="shared" si="2"/>
        <v>1102-120</v>
      </c>
      <c r="K585" s="71" t="str">
        <f>E584</f>
        <v>Pembelian Bunga</v>
      </c>
      <c r="L585" s="34" t="str">
        <f t="shared" si="3"/>
        <v>5101</v>
      </c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5.75" customHeight="1">
      <c r="A586" s="118">
        <v>46258.0</v>
      </c>
      <c r="B586" s="119" t="s">
        <v>560</v>
      </c>
      <c r="C586" s="120" t="s">
        <v>157</v>
      </c>
      <c r="D586" s="121" t="s">
        <v>93</v>
      </c>
      <c r="E586" s="43" t="str">
        <f>IFERROR(VLOOKUP(D586,'Daftar Akun'!A$6:$B$103,2,FALSE),"")</f>
        <v>Pembelian Bunga</v>
      </c>
      <c r="F586" s="122">
        <v>25000.0</v>
      </c>
      <c r="G586" s="129"/>
      <c r="H586" s="34"/>
      <c r="I586" s="68">
        <f t="shared" si="1"/>
        <v>97</v>
      </c>
      <c r="J586" s="68" t="str">
        <f t="shared" si="2"/>
        <v>5101-97</v>
      </c>
      <c r="K586" s="71" t="str">
        <f>E587</f>
        <v>Bank</v>
      </c>
      <c r="L586" s="34" t="str">
        <f t="shared" si="3"/>
        <v>1102</v>
      </c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5.75" customHeight="1">
      <c r="A587" s="118">
        <v>46258.0</v>
      </c>
      <c r="B587" s="119" t="s">
        <v>560</v>
      </c>
      <c r="C587" s="120" t="s">
        <v>157</v>
      </c>
      <c r="D587" s="121" t="s">
        <v>33</v>
      </c>
      <c r="E587" s="43" t="str">
        <f>IFERROR(VLOOKUP(D587,'Daftar Akun'!A$6:$B$103,2,FALSE),"")</f>
        <v>Bank</v>
      </c>
      <c r="F587" s="129"/>
      <c r="G587" s="122">
        <v>25000.0</v>
      </c>
      <c r="H587" s="34"/>
      <c r="I587" s="68">
        <f t="shared" si="1"/>
        <v>121</v>
      </c>
      <c r="J587" s="68" t="str">
        <f t="shared" si="2"/>
        <v>1102-121</v>
      </c>
      <c r="K587" s="71" t="str">
        <f>E586</f>
        <v>Pembelian Bunga</v>
      </c>
      <c r="L587" s="34" t="str">
        <f t="shared" si="3"/>
        <v>5101</v>
      </c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5.75" customHeight="1">
      <c r="A588" s="118">
        <v>46258.0</v>
      </c>
      <c r="B588" s="131"/>
      <c r="C588" s="120" t="s">
        <v>561</v>
      </c>
      <c r="D588" s="121" t="s">
        <v>67</v>
      </c>
      <c r="E588" s="43" t="str">
        <f>IFERROR(VLOOKUP(D588,'Daftar Akun'!A$6:$B$103,2,FALSE),"")</f>
        <v>Hutang Dagang</v>
      </c>
      <c r="F588" s="122">
        <v>755000.0</v>
      </c>
      <c r="G588" s="129"/>
      <c r="H588" s="34"/>
      <c r="I588" s="68">
        <f t="shared" si="1"/>
        <v>21</v>
      </c>
      <c r="J588" s="68" t="str">
        <f t="shared" si="2"/>
        <v>2101-21</v>
      </c>
      <c r="K588" s="71" t="str">
        <f>E589</f>
        <v>Bank</v>
      </c>
      <c r="L588" s="34" t="str">
        <f t="shared" si="3"/>
        <v>1102</v>
      </c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5.75" customHeight="1">
      <c r="A589" s="118">
        <v>46258.0</v>
      </c>
      <c r="B589" s="131"/>
      <c r="C589" s="120" t="s">
        <v>561</v>
      </c>
      <c r="D589" s="121" t="s">
        <v>33</v>
      </c>
      <c r="E589" s="43" t="str">
        <f>IFERROR(VLOOKUP(D589,'Daftar Akun'!A$6:$B$103,2,FALSE),"")</f>
        <v>Bank</v>
      </c>
      <c r="F589" s="129"/>
      <c r="G589" s="122">
        <v>755000.0</v>
      </c>
      <c r="H589" s="34"/>
      <c r="I589" s="68">
        <f t="shared" si="1"/>
        <v>122</v>
      </c>
      <c r="J589" s="68" t="str">
        <f t="shared" si="2"/>
        <v>1102-122</v>
      </c>
      <c r="K589" s="71" t="str">
        <f>E588</f>
        <v>Hutang Dagang</v>
      </c>
      <c r="L589" s="34" t="str">
        <f t="shared" si="3"/>
        <v>2101</v>
      </c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5.75" customHeight="1">
      <c r="A590" s="118">
        <v>46258.0</v>
      </c>
      <c r="B590" s="119" t="s">
        <v>562</v>
      </c>
      <c r="C590" s="120" t="s">
        <v>195</v>
      </c>
      <c r="D590" s="121" t="s">
        <v>93</v>
      </c>
      <c r="E590" s="43" t="str">
        <f>IFERROR(VLOOKUP(D590,'Daftar Akun'!A$6:$B$103,2,FALSE),"")</f>
        <v>Pembelian Bunga</v>
      </c>
      <c r="F590" s="122">
        <v>334000.0</v>
      </c>
      <c r="G590" s="129"/>
      <c r="H590" s="34"/>
      <c r="I590" s="68">
        <f t="shared" si="1"/>
        <v>98</v>
      </c>
      <c r="J590" s="68" t="str">
        <f t="shared" si="2"/>
        <v>5101-98</v>
      </c>
      <c r="K590" s="71" t="str">
        <f>E591</f>
        <v>Hutang Dagang</v>
      </c>
      <c r="L590" s="34" t="str">
        <f t="shared" si="3"/>
        <v>2101</v>
      </c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5.75" customHeight="1">
      <c r="A591" s="118">
        <v>46258.0</v>
      </c>
      <c r="B591" s="119" t="s">
        <v>562</v>
      </c>
      <c r="C591" s="120" t="s">
        <v>195</v>
      </c>
      <c r="D591" s="121" t="s">
        <v>67</v>
      </c>
      <c r="E591" s="43" t="str">
        <f>IFERROR(VLOOKUP(D591,'Daftar Akun'!A$6:$B$103,2,FALSE),"")</f>
        <v>Hutang Dagang</v>
      </c>
      <c r="F591" s="129"/>
      <c r="G591" s="122">
        <v>334000.0</v>
      </c>
      <c r="H591" s="34"/>
      <c r="I591" s="68">
        <f t="shared" si="1"/>
        <v>22</v>
      </c>
      <c r="J591" s="68" t="str">
        <f t="shared" si="2"/>
        <v>2101-22</v>
      </c>
      <c r="K591" s="71" t="str">
        <f>E590</f>
        <v>Pembelian Bunga</v>
      </c>
      <c r="L591" s="34" t="str">
        <f t="shared" si="3"/>
        <v>5101</v>
      </c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5.75" customHeight="1">
      <c r="A592" s="118">
        <v>46258.0</v>
      </c>
      <c r="B592" s="119" t="s">
        <v>563</v>
      </c>
      <c r="C592" s="120" t="s">
        <v>262</v>
      </c>
      <c r="D592" s="121" t="s">
        <v>36</v>
      </c>
      <c r="E592" s="43" t="str">
        <f>IFERROR(VLOOKUP(D592,'Daftar Akun'!A$6:$B$103,2,FALSE),"")</f>
        <v>Piutang Dagang</v>
      </c>
      <c r="F592" s="122">
        <v>644250.0</v>
      </c>
      <c r="G592" s="129"/>
      <c r="H592" s="34"/>
      <c r="I592" s="68">
        <f t="shared" si="1"/>
        <v>73</v>
      </c>
      <c r="J592" s="68" t="str">
        <f t="shared" si="2"/>
        <v>1103-73</v>
      </c>
      <c r="K592" s="71" t="str">
        <f>E593</f>
        <v>Penjualan</v>
      </c>
      <c r="L592" s="34" t="str">
        <f t="shared" si="3"/>
        <v>4101</v>
      </c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5.75" customHeight="1">
      <c r="A593" s="118">
        <v>46258.0</v>
      </c>
      <c r="B593" s="119" t="s">
        <v>563</v>
      </c>
      <c r="C593" s="120" t="s">
        <v>262</v>
      </c>
      <c r="D593" s="121" t="s">
        <v>80</v>
      </c>
      <c r="E593" s="43" t="str">
        <f>IFERROR(VLOOKUP(D593,'Daftar Akun'!A$6:$B$103,2,FALSE),"")</f>
        <v>Penjualan</v>
      </c>
      <c r="F593" s="129"/>
      <c r="G593" s="122">
        <v>644250.0</v>
      </c>
      <c r="H593" s="34"/>
      <c r="I593" s="68">
        <f t="shared" si="1"/>
        <v>69</v>
      </c>
      <c r="J593" s="68" t="str">
        <f t="shared" si="2"/>
        <v>4101-69</v>
      </c>
      <c r="K593" s="71" t="str">
        <f>E592</f>
        <v>Piutang Dagang</v>
      </c>
      <c r="L593" s="34" t="str">
        <f t="shared" si="3"/>
        <v>1103</v>
      </c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5.75" customHeight="1">
      <c r="A594" s="118">
        <v>46258.0</v>
      </c>
      <c r="B594" s="119" t="s">
        <v>564</v>
      </c>
      <c r="C594" s="120" t="s">
        <v>565</v>
      </c>
      <c r="D594" s="121" t="s">
        <v>36</v>
      </c>
      <c r="E594" s="43" t="str">
        <f>IFERROR(VLOOKUP(D594,'Daftar Akun'!A$6:$B$103,2,FALSE),"")</f>
        <v>Piutang Dagang</v>
      </c>
      <c r="F594" s="122">
        <v>1052500.0</v>
      </c>
      <c r="G594" s="129"/>
      <c r="H594" s="34"/>
      <c r="I594" s="68">
        <f t="shared" si="1"/>
        <v>74</v>
      </c>
      <c r="J594" s="68" t="str">
        <f t="shared" si="2"/>
        <v>1103-74</v>
      </c>
      <c r="K594" s="71" t="str">
        <f>E595</f>
        <v>Penjualan</v>
      </c>
      <c r="L594" s="34" t="str">
        <f t="shared" si="3"/>
        <v>4101</v>
      </c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5.75" customHeight="1">
      <c r="A595" s="118">
        <v>46258.0</v>
      </c>
      <c r="B595" s="119" t="s">
        <v>564</v>
      </c>
      <c r="C595" s="120" t="s">
        <v>565</v>
      </c>
      <c r="D595" s="121" t="s">
        <v>80</v>
      </c>
      <c r="E595" s="43" t="str">
        <f>IFERROR(VLOOKUP(D595,'Daftar Akun'!A$6:$B$103,2,FALSE),"")</f>
        <v>Penjualan</v>
      </c>
      <c r="F595" s="129"/>
      <c r="G595" s="122">
        <v>1052500.0</v>
      </c>
      <c r="H595" s="34"/>
      <c r="I595" s="68">
        <f t="shared" si="1"/>
        <v>70</v>
      </c>
      <c r="J595" s="68" t="str">
        <f t="shared" si="2"/>
        <v>4101-70</v>
      </c>
      <c r="K595" s="71" t="str">
        <f>E594</f>
        <v>Piutang Dagang</v>
      </c>
      <c r="L595" s="34" t="str">
        <f t="shared" si="3"/>
        <v>1103</v>
      </c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5.75" customHeight="1">
      <c r="A596" s="118">
        <v>46258.0</v>
      </c>
      <c r="B596" s="119" t="s">
        <v>566</v>
      </c>
      <c r="C596" s="120" t="s">
        <v>333</v>
      </c>
      <c r="D596" s="121" t="s">
        <v>36</v>
      </c>
      <c r="E596" s="43" t="str">
        <f>IFERROR(VLOOKUP(D596,'Daftar Akun'!A$6:$B$103,2,FALSE),"")</f>
        <v>Piutang Dagang</v>
      </c>
      <c r="F596" s="122">
        <v>645000.0</v>
      </c>
      <c r="G596" s="129"/>
      <c r="H596" s="34"/>
      <c r="I596" s="68">
        <f t="shared" si="1"/>
        <v>75</v>
      </c>
      <c r="J596" s="68" t="str">
        <f t="shared" si="2"/>
        <v>1103-75</v>
      </c>
      <c r="K596" s="71" t="str">
        <f>E597</f>
        <v>Penjualan</v>
      </c>
      <c r="L596" s="34" t="str">
        <f t="shared" si="3"/>
        <v>4101</v>
      </c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5.75" customHeight="1">
      <c r="A597" s="118">
        <v>46258.0</v>
      </c>
      <c r="B597" s="119" t="s">
        <v>566</v>
      </c>
      <c r="C597" s="120" t="s">
        <v>333</v>
      </c>
      <c r="D597" s="121" t="s">
        <v>80</v>
      </c>
      <c r="E597" s="43" t="str">
        <f>IFERROR(VLOOKUP(D597,'Daftar Akun'!A$6:$B$103,2,FALSE),"")</f>
        <v>Penjualan</v>
      </c>
      <c r="F597" s="129"/>
      <c r="G597" s="122">
        <v>645000.0</v>
      </c>
      <c r="H597" s="34"/>
      <c r="I597" s="68">
        <f t="shared" si="1"/>
        <v>71</v>
      </c>
      <c r="J597" s="68" t="str">
        <f t="shared" si="2"/>
        <v>4101-71</v>
      </c>
      <c r="K597" s="71" t="str">
        <f>E596</f>
        <v>Piutang Dagang</v>
      </c>
      <c r="L597" s="34" t="str">
        <f t="shared" si="3"/>
        <v>1103</v>
      </c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5.75" customHeight="1">
      <c r="A598" s="118">
        <v>46259.0</v>
      </c>
      <c r="B598" s="131"/>
      <c r="C598" s="120" t="s">
        <v>567</v>
      </c>
      <c r="D598" s="121" t="s">
        <v>51</v>
      </c>
      <c r="E598" s="43" t="str">
        <f>IFERROR(VLOOKUP(D598,'Daftar Akun'!A$6:$B$103,2,FALSE),"")</f>
        <v>Piutang Ongkir</v>
      </c>
      <c r="F598" s="122">
        <v>1410649.0</v>
      </c>
      <c r="G598" s="129"/>
      <c r="H598" s="34"/>
      <c r="I598" s="68">
        <f t="shared" si="1"/>
        <v>45</v>
      </c>
      <c r="J598" s="68" t="str">
        <f t="shared" si="2"/>
        <v>1107-45</v>
      </c>
      <c r="K598" s="71" t="str">
        <f>E599</f>
        <v>Bank</v>
      </c>
      <c r="L598" s="34" t="str">
        <f t="shared" si="3"/>
        <v>1102</v>
      </c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5.75" customHeight="1">
      <c r="A599" s="118">
        <v>46259.0</v>
      </c>
      <c r="B599" s="131"/>
      <c r="C599" s="120" t="s">
        <v>567</v>
      </c>
      <c r="D599" s="121" t="s">
        <v>33</v>
      </c>
      <c r="E599" s="43" t="str">
        <f>IFERROR(VLOOKUP(D599,'Daftar Akun'!A$6:$B$103,2,FALSE),"")</f>
        <v>Bank</v>
      </c>
      <c r="F599" s="129"/>
      <c r="G599" s="122">
        <v>1410649.0</v>
      </c>
      <c r="H599" s="34"/>
      <c r="I599" s="68">
        <f t="shared" si="1"/>
        <v>123</v>
      </c>
      <c r="J599" s="68" t="str">
        <f t="shared" si="2"/>
        <v>1102-123</v>
      </c>
      <c r="K599" s="71" t="str">
        <f>E598</f>
        <v>Piutang Ongkir</v>
      </c>
      <c r="L599" s="34" t="str">
        <f t="shared" si="3"/>
        <v>1107</v>
      </c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5.75" customHeight="1">
      <c r="A600" s="118">
        <v>46259.0</v>
      </c>
      <c r="B600" s="131"/>
      <c r="C600" s="120" t="s">
        <v>568</v>
      </c>
      <c r="D600" s="121" t="s">
        <v>33</v>
      </c>
      <c r="E600" s="43" t="str">
        <f>IFERROR(VLOOKUP(D600,'Daftar Akun'!A$6:$B$103,2,FALSE),"")</f>
        <v>Bank</v>
      </c>
      <c r="F600" s="122">
        <v>2341750.0</v>
      </c>
      <c r="G600" s="129"/>
      <c r="H600" s="34"/>
      <c r="I600" s="68">
        <f t="shared" si="1"/>
        <v>124</v>
      </c>
      <c r="J600" s="68" t="str">
        <f t="shared" si="2"/>
        <v>1102-124</v>
      </c>
      <c r="K600" s="71" t="str">
        <f>E601</f>
        <v>Piutang Dagang</v>
      </c>
      <c r="L600" s="34" t="str">
        <f t="shared" si="3"/>
        <v>1103</v>
      </c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5.75" customHeight="1">
      <c r="A601" s="118">
        <v>46259.0</v>
      </c>
      <c r="B601" s="131"/>
      <c r="C601" s="120" t="s">
        <v>568</v>
      </c>
      <c r="D601" s="121" t="s">
        <v>36</v>
      </c>
      <c r="E601" s="43" t="str">
        <f>IFERROR(VLOOKUP(D601,'Daftar Akun'!A$6:$B$103,2,FALSE),"")</f>
        <v>Piutang Dagang</v>
      </c>
      <c r="F601" s="129"/>
      <c r="G601" s="122">
        <v>2341750.0</v>
      </c>
      <c r="H601" s="34"/>
      <c r="I601" s="68">
        <f t="shared" si="1"/>
        <v>76</v>
      </c>
      <c r="J601" s="68" t="str">
        <f t="shared" si="2"/>
        <v>1103-76</v>
      </c>
      <c r="K601" s="71" t="str">
        <f>E600</f>
        <v>Bank</v>
      </c>
      <c r="L601" s="34" t="str">
        <f t="shared" si="3"/>
        <v>1102</v>
      </c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5.75" customHeight="1">
      <c r="A602" s="118">
        <v>46259.0</v>
      </c>
      <c r="B602" s="131"/>
      <c r="C602" s="120" t="s">
        <v>569</v>
      </c>
      <c r="D602" s="121" t="s">
        <v>33</v>
      </c>
      <c r="E602" s="43" t="str">
        <f>IFERROR(VLOOKUP(D602,'Daftar Akun'!A$6:$B$103,2,FALSE),"")</f>
        <v>Bank</v>
      </c>
      <c r="F602" s="122">
        <v>1485649.0</v>
      </c>
      <c r="G602" s="129"/>
      <c r="H602" s="34"/>
      <c r="I602" s="68">
        <f t="shared" si="1"/>
        <v>125</v>
      </c>
      <c r="J602" s="68" t="str">
        <f t="shared" si="2"/>
        <v>1102-125</v>
      </c>
      <c r="K602" s="71" t="str">
        <f>E603</f>
        <v>Piutang Ongkir</v>
      </c>
      <c r="L602" s="34" t="str">
        <f t="shared" si="3"/>
        <v>1107</v>
      </c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5.75" customHeight="1">
      <c r="A603" s="118">
        <v>46259.0</v>
      </c>
      <c r="B603" s="131"/>
      <c r="C603" s="120" t="s">
        <v>569</v>
      </c>
      <c r="D603" s="121" t="s">
        <v>51</v>
      </c>
      <c r="E603" s="43" t="str">
        <f>IFERROR(VLOOKUP(D603,'Daftar Akun'!A$6:$B$103,2,FALSE),"")</f>
        <v>Piutang Ongkir</v>
      </c>
      <c r="F603" s="129"/>
      <c r="G603" s="122">
        <v>1485649.0</v>
      </c>
      <c r="H603" s="34"/>
      <c r="I603" s="68">
        <f t="shared" si="1"/>
        <v>46</v>
      </c>
      <c r="J603" s="68" t="str">
        <f t="shared" si="2"/>
        <v>1107-46</v>
      </c>
      <c r="K603" s="71" t="str">
        <f>E602</f>
        <v>Bank</v>
      </c>
      <c r="L603" s="34" t="str">
        <f t="shared" si="3"/>
        <v>1102</v>
      </c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5.75" customHeight="1">
      <c r="A604" s="118">
        <v>46259.0</v>
      </c>
      <c r="B604" s="119" t="s">
        <v>570</v>
      </c>
      <c r="C604" s="120" t="s">
        <v>571</v>
      </c>
      <c r="D604" s="121" t="s">
        <v>121</v>
      </c>
      <c r="E604" s="43" t="str">
        <f>IFERROR(VLOOKUP(D604,'Daftar Akun'!A$6:$B$103,2,FALSE),"")</f>
        <v>Beban Lain-Lain</v>
      </c>
      <c r="F604" s="122">
        <v>23000.0</v>
      </c>
      <c r="G604" s="129"/>
      <c r="H604" s="34"/>
      <c r="I604" s="68">
        <f t="shared" si="1"/>
        <v>20</v>
      </c>
      <c r="J604" s="68" t="str">
        <f t="shared" si="2"/>
        <v>6108-20</v>
      </c>
      <c r="K604" s="71" t="str">
        <f>E605</f>
        <v>Kas</v>
      </c>
      <c r="L604" s="34" t="str">
        <f t="shared" si="3"/>
        <v>1101</v>
      </c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5.75" customHeight="1">
      <c r="A605" s="118">
        <v>46259.0</v>
      </c>
      <c r="B605" s="119" t="s">
        <v>570</v>
      </c>
      <c r="C605" s="120" t="s">
        <v>571</v>
      </c>
      <c r="D605" s="121" t="s">
        <v>18</v>
      </c>
      <c r="E605" s="43" t="str">
        <f>IFERROR(VLOOKUP(D605,'Daftar Akun'!A$6:$B$103,2,FALSE),"")</f>
        <v>Kas</v>
      </c>
      <c r="F605" s="129"/>
      <c r="G605" s="122">
        <v>23000.0</v>
      </c>
      <c r="H605" s="34"/>
      <c r="I605" s="68">
        <f t="shared" si="1"/>
        <v>107</v>
      </c>
      <c r="J605" s="68" t="str">
        <f t="shared" si="2"/>
        <v>1101-107</v>
      </c>
      <c r="K605" s="71" t="str">
        <f>E604</f>
        <v>Beban Lain-Lain</v>
      </c>
      <c r="L605" s="34" t="str">
        <f t="shared" si="3"/>
        <v>6108</v>
      </c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5.75" customHeight="1">
      <c r="A606" s="118">
        <v>46259.0</v>
      </c>
      <c r="B606" s="131"/>
      <c r="C606" s="120" t="s">
        <v>572</v>
      </c>
      <c r="D606" s="121" t="s">
        <v>93</v>
      </c>
      <c r="E606" s="43" t="str">
        <f>IFERROR(VLOOKUP(D606,'Daftar Akun'!A$6:$B$103,2,FALSE),"")</f>
        <v>Pembelian Bunga</v>
      </c>
      <c r="F606" s="122">
        <v>330000.0</v>
      </c>
      <c r="G606" s="129"/>
      <c r="H606" s="34"/>
      <c r="I606" s="68">
        <f t="shared" si="1"/>
        <v>99</v>
      </c>
      <c r="J606" s="68" t="str">
        <f t="shared" si="2"/>
        <v>5101-99</v>
      </c>
      <c r="K606" s="71" t="str">
        <f>E607</f>
        <v>Bank</v>
      </c>
      <c r="L606" s="34" t="str">
        <f t="shared" si="3"/>
        <v>1102</v>
      </c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5.75" customHeight="1">
      <c r="A607" s="118">
        <v>46259.0</v>
      </c>
      <c r="B607" s="131"/>
      <c r="C607" s="120" t="s">
        <v>572</v>
      </c>
      <c r="D607" s="121" t="s">
        <v>33</v>
      </c>
      <c r="E607" s="43" t="str">
        <f>IFERROR(VLOOKUP(D607,'Daftar Akun'!A$6:$B$103,2,FALSE),"")</f>
        <v>Bank</v>
      </c>
      <c r="F607" s="129"/>
      <c r="G607" s="122">
        <v>330000.0</v>
      </c>
      <c r="H607" s="34"/>
      <c r="I607" s="68">
        <f t="shared" si="1"/>
        <v>126</v>
      </c>
      <c r="J607" s="68" t="str">
        <f t="shared" si="2"/>
        <v>1102-126</v>
      </c>
      <c r="K607" s="71" t="str">
        <f>E606</f>
        <v>Pembelian Bunga</v>
      </c>
      <c r="L607" s="34" t="str">
        <f t="shared" si="3"/>
        <v>5101</v>
      </c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5.75" customHeight="1">
      <c r="A608" s="118">
        <v>46259.0</v>
      </c>
      <c r="B608" s="131"/>
      <c r="C608" s="120" t="s">
        <v>155</v>
      </c>
      <c r="D608" s="121" t="s">
        <v>93</v>
      </c>
      <c r="E608" s="43" t="str">
        <f>IFERROR(VLOOKUP(D608,'Daftar Akun'!A$6:$B$103,2,FALSE),"")</f>
        <v>Pembelian Bunga</v>
      </c>
      <c r="F608" s="122">
        <v>520000.0</v>
      </c>
      <c r="G608" s="129"/>
      <c r="H608" s="34"/>
      <c r="I608" s="68">
        <f t="shared" si="1"/>
        <v>100</v>
      </c>
      <c r="J608" s="68" t="str">
        <f t="shared" si="2"/>
        <v>5101-100</v>
      </c>
      <c r="K608" s="71" t="str">
        <f>E609</f>
        <v>Bank</v>
      </c>
      <c r="L608" s="34" t="str">
        <f t="shared" si="3"/>
        <v>1102</v>
      </c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5.75" customHeight="1">
      <c r="A609" s="118">
        <v>46259.0</v>
      </c>
      <c r="B609" s="131"/>
      <c r="C609" s="120" t="s">
        <v>155</v>
      </c>
      <c r="D609" s="121" t="s">
        <v>33</v>
      </c>
      <c r="E609" s="43" t="str">
        <f>IFERROR(VLOOKUP(D609,'Daftar Akun'!A$6:$B$103,2,FALSE),"")</f>
        <v>Bank</v>
      </c>
      <c r="F609" s="129"/>
      <c r="G609" s="122">
        <v>520000.0</v>
      </c>
      <c r="H609" s="34"/>
      <c r="I609" s="68">
        <f t="shared" si="1"/>
        <v>127</v>
      </c>
      <c r="J609" s="68" t="str">
        <f t="shared" si="2"/>
        <v>1102-127</v>
      </c>
      <c r="K609" s="71" t="str">
        <f>E608</f>
        <v>Pembelian Bunga</v>
      </c>
      <c r="L609" s="34" t="str">
        <f t="shared" si="3"/>
        <v>5101</v>
      </c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5.75" customHeight="1">
      <c r="A610" s="118">
        <v>46259.0</v>
      </c>
      <c r="B610" s="131"/>
      <c r="C610" s="120" t="s">
        <v>573</v>
      </c>
      <c r="D610" s="121" t="s">
        <v>60</v>
      </c>
      <c r="E610" s="43" t="str">
        <f>IFERROR(VLOOKUP(D610,'Daftar Akun'!A$6:$B$103,2,FALSE),"")</f>
        <v>Uang Muka Pembelian Petani</v>
      </c>
      <c r="F610" s="122">
        <v>2100000.0</v>
      </c>
      <c r="G610" s="129"/>
      <c r="H610" s="34"/>
      <c r="I610" s="68">
        <f t="shared" si="1"/>
        <v>3</v>
      </c>
      <c r="J610" s="68" t="str">
        <f t="shared" si="2"/>
        <v>1110-3</v>
      </c>
      <c r="K610" s="71" t="str">
        <f>E611</f>
        <v>Bank</v>
      </c>
      <c r="L610" s="34" t="str">
        <f t="shared" si="3"/>
        <v>1102</v>
      </c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5.75" customHeight="1">
      <c r="A611" s="118">
        <v>46259.0</v>
      </c>
      <c r="B611" s="131"/>
      <c r="C611" s="120" t="s">
        <v>573</v>
      </c>
      <c r="D611" s="121" t="s">
        <v>33</v>
      </c>
      <c r="E611" s="43" t="str">
        <f>IFERROR(VLOOKUP(D611,'Daftar Akun'!A$6:$B$103,2,FALSE),"")</f>
        <v>Bank</v>
      </c>
      <c r="F611" s="129"/>
      <c r="G611" s="122">
        <v>2100000.0</v>
      </c>
      <c r="H611" s="34"/>
      <c r="I611" s="68">
        <f t="shared" si="1"/>
        <v>128</v>
      </c>
      <c r="J611" s="68" t="str">
        <f t="shared" si="2"/>
        <v>1102-128</v>
      </c>
      <c r="K611" s="71" t="str">
        <f>E610</f>
        <v>Uang Muka Pembelian Petani</v>
      </c>
      <c r="L611" s="34" t="str">
        <f t="shared" si="3"/>
        <v>1110</v>
      </c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5.75" customHeight="1">
      <c r="A612" s="118">
        <v>46259.0</v>
      </c>
      <c r="B612" s="131"/>
      <c r="C612" s="120" t="s">
        <v>301</v>
      </c>
      <c r="D612" s="121" t="s">
        <v>63</v>
      </c>
      <c r="E612" s="43" t="str">
        <f>IFERROR(VLOOKUP(D612,'Daftar Akun'!A$6:$B$103,2,FALSE),"")</f>
        <v>Gaji Bayar di Muka</v>
      </c>
      <c r="F612" s="122">
        <v>350000.0</v>
      </c>
      <c r="G612" s="129"/>
      <c r="H612" s="34"/>
      <c r="I612" s="68">
        <f t="shared" si="1"/>
        <v>2</v>
      </c>
      <c r="J612" s="68" t="str">
        <f t="shared" si="2"/>
        <v>1111-2</v>
      </c>
      <c r="K612" s="71" t="str">
        <f>E613</f>
        <v>Bank</v>
      </c>
      <c r="L612" s="34" t="str">
        <f t="shared" si="3"/>
        <v>1102</v>
      </c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5.75" customHeight="1">
      <c r="A613" s="118">
        <v>46259.0</v>
      </c>
      <c r="B613" s="131"/>
      <c r="C613" s="120" t="s">
        <v>301</v>
      </c>
      <c r="D613" s="121" t="s">
        <v>33</v>
      </c>
      <c r="E613" s="43" t="str">
        <f>IFERROR(VLOOKUP(D613,'Daftar Akun'!A$6:$B$103,2,FALSE),"")</f>
        <v>Bank</v>
      </c>
      <c r="F613" s="129"/>
      <c r="G613" s="122">
        <v>350000.0</v>
      </c>
      <c r="H613" s="34"/>
      <c r="I613" s="68">
        <f t="shared" si="1"/>
        <v>129</v>
      </c>
      <c r="J613" s="68" t="str">
        <f t="shared" si="2"/>
        <v>1102-129</v>
      </c>
      <c r="K613" s="71" t="str">
        <f>E612</f>
        <v>Gaji Bayar di Muka</v>
      </c>
      <c r="L613" s="34" t="str">
        <f t="shared" si="3"/>
        <v>1111</v>
      </c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5.75" customHeight="1">
      <c r="A614" s="118">
        <v>46260.0</v>
      </c>
      <c r="B614" s="131"/>
      <c r="C614" s="120" t="s">
        <v>574</v>
      </c>
      <c r="D614" s="121" t="s">
        <v>105</v>
      </c>
      <c r="E614" s="43" t="str">
        <f>IFERROR(VLOOKUP(D614,'Daftar Akun'!A$6:$B$103,2,FALSE),"")</f>
        <v>Beban Gaji</v>
      </c>
      <c r="F614" s="122">
        <v>50000.0</v>
      </c>
      <c r="G614" s="129"/>
      <c r="H614" s="34"/>
      <c r="I614" s="68">
        <f t="shared" si="1"/>
        <v>7</v>
      </c>
      <c r="J614" s="68" t="str">
        <f t="shared" si="2"/>
        <v>6101-7</v>
      </c>
      <c r="K614" s="71" t="str">
        <f>E615</f>
        <v>Bank</v>
      </c>
      <c r="L614" s="34" t="str">
        <f t="shared" si="3"/>
        <v>1102</v>
      </c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5.75" customHeight="1">
      <c r="A615" s="118">
        <v>46260.0</v>
      </c>
      <c r="B615" s="131"/>
      <c r="C615" s="120" t="s">
        <v>574</v>
      </c>
      <c r="D615" s="121" t="s">
        <v>33</v>
      </c>
      <c r="E615" s="43" t="str">
        <f>IFERROR(VLOOKUP(D615,'Daftar Akun'!A$6:$B$103,2,FALSE),"")</f>
        <v>Bank</v>
      </c>
      <c r="F615" s="129"/>
      <c r="G615" s="122">
        <v>50000.0</v>
      </c>
      <c r="H615" s="34"/>
      <c r="I615" s="68">
        <f t="shared" si="1"/>
        <v>130</v>
      </c>
      <c r="J615" s="68" t="str">
        <f t="shared" si="2"/>
        <v>1102-130</v>
      </c>
      <c r="K615" s="71" t="str">
        <f>E614</f>
        <v>Beban Gaji</v>
      </c>
      <c r="L615" s="34" t="str">
        <f t="shared" si="3"/>
        <v>6101</v>
      </c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5.75" customHeight="1">
      <c r="A616" s="118">
        <v>46260.0</v>
      </c>
      <c r="B616" s="119" t="s">
        <v>575</v>
      </c>
      <c r="C616" s="120" t="s">
        <v>576</v>
      </c>
      <c r="D616" s="121" t="s">
        <v>53</v>
      </c>
      <c r="E616" s="43" t="str">
        <f>IFERROR(VLOOKUP(D616,'Daftar Akun'!A$6:$B$103,2,FALSE),"")</f>
        <v>Perlengkapan</v>
      </c>
      <c r="F616" s="122">
        <v>45000.0</v>
      </c>
      <c r="G616" s="129"/>
      <c r="H616" s="34"/>
      <c r="I616" s="68">
        <f t="shared" si="1"/>
        <v>8</v>
      </c>
      <c r="J616" s="68" t="str">
        <f t="shared" si="2"/>
        <v>1108-8</v>
      </c>
      <c r="K616" s="71" t="str">
        <f>E617</f>
        <v>Kas</v>
      </c>
      <c r="L616" s="34" t="str">
        <f t="shared" si="3"/>
        <v>1101</v>
      </c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5.75" customHeight="1">
      <c r="A617" s="118">
        <v>46260.0</v>
      </c>
      <c r="B617" s="119" t="s">
        <v>575</v>
      </c>
      <c r="C617" s="120" t="s">
        <v>576</v>
      </c>
      <c r="D617" s="121" t="s">
        <v>18</v>
      </c>
      <c r="E617" s="43" t="str">
        <f>IFERROR(VLOOKUP(D617,'Daftar Akun'!A$6:$B$103,2,FALSE),"")</f>
        <v>Kas</v>
      </c>
      <c r="F617" s="129"/>
      <c r="G617" s="122">
        <v>45000.0</v>
      </c>
      <c r="H617" s="34"/>
      <c r="I617" s="68">
        <f t="shared" si="1"/>
        <v>108</v>
      </c>
      <c r="J617" s="68" t="str">
        <f t="shared" si="2"/>
        <v>1101-108</v>
      </c>
      <c r="K617" s="71" t="str">
        <f>E616</f>
        <v>Perlengkapan</v>
      </c>
      <c r="L617" s="34" t="str">
        <f t="shared" si="3"/>
        <v>1108</v>
      </c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5.75" customHeight="1">
      <c r="A618" s="118">
        <v>46260.0</v>
      </c>
      <c r="B618" s="119" t="s">
        <v>577</v>
      </c>
      <c r="C618" s="120" t="s">
        <v>249</v>
      </c>
      <c r="D618" s="121" t="s">
        <v>93</v>
      </c>
      <c r="E618" s="43" t="str">
        <f>IFERROR(VLOOKUP(D618,'Daftar Akun'!A$6:$B$103,2,FALSE),"")</f>
        <v>Pembelian Bunga</v>
      </c>
      <c r="F618" s="122">
        <v>181000.0</v>
      </c>
      <c r="G618" s="129"/>
      <c r="H618" s="34"/>
      <c r="I618" s="68">
        <f t="shared" si="1"/>
        <v>101</v>
      </c>
      <c r="J618" s="68" t="str">
        <f t="shared" si="2"/>
        <v>5101-101</v>
      </c>
      <c r="K618" s="71" t="str">
        <f>E619</f>
        <v>Kas</v>
      </c>
      <c r="L618" s="34" t="str">
        <f t="shared" si="3"/>
        <v>1101</v>
      </c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5.75" customHeight="1">
      <c r="A619" s="118">
        <v>46260.0</v>
      </c>
      <c r="B619" s="119" t="s">
        <v>577</v>
      </c>
      <c r="C619" s="120" t="s">
        <v>249</v>
      </c>
      <c r="D619" s="121" t="s">
        <v>18</v>
      </c>
      <c r="E619" s="43" t="str">
        <f>IFERROR(VLOOKUP(D619,'Daftar Akun'!A$6:$B$103,2,FALSE),"")</f>
        <v>Kas</v>
      </c>
      <c r="F619" s="129"/>
      <c r="G619" s="122">
        <v>181000.0</v>
      </c>
      <c r="H619" s="34"/>
      <c r="I619" s="68">
        <f t="shared" si="1"/>
        <v>109</v>
      </c>
      <c r="J619" s="68" t="str">
        <f t="shared" si="2"/>
        <v>1101-109</v>
      </c>
      <c r="K619" s="71" t="str">
        <f>E618</f>
        <v>Pembelian Bunga</v>
      </c>
      <c r="L619" s="34" t="str">
        <f t="shared" si="3"/>
        <v>5101</v>
      </c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5.75" customHeight="1">
      <c r="A620" s="118">
        <v>46260.0</v>
      </c>
      <c r="B620" s="119" t="s">
        <v>578</v>
      </c>
      <c r="C620" s="120" t="s">
        <v>242</v>
      </c>
      <c r="D620" s="121" t="s">
        <v>36</v>
      </c>
      <c r="E620" s="43" t="str">
        <f>IFERROR(VLOOKUP(D620,'Daftar Akun'!A$6:$B$103,2,FALSE),"")</f>
        <v>Piutang Dagang</v>
      </c>
      <c r="F620" s="122">
        <v>872250.0</v>
      </c>
      <c r="G620" s="129"/>
      <c r="H620" s="34"/>
      <c r="I620" s="68">
        <f t="shared" si="1"/>
        <v>77</v>
      </c>
      <c r="J620" s="68" t="str">
        <f t="shared" si="2"/>
        <v>1103-77</v>
      </c>
      <c r="K620" s="71" t="str">
        <f>E621</f>
        <v>Penjualan</v>
      </c>
      <c r="L620" s="34" t="str">
        <f t="shared" si="3"/>
        <v>4101</v>
      </c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5.75" customHeight="1">
      <c r="A621" s="118">
        <v>46260.0</v>
      </c>
      <c r="B621" s="119" t="s">
        <v>578</v>
      </c>
      <c r="C621" s="120" t="s">
        <v>242</v>
      </c>
      <c r="D621" s="121" t="s">
        <v>80</v>
      </c>
      <c r="E621" s="43" t="str">
        <f>IFERROR(VLOOKUP(D621,'Daftar Akun'!A$6:$B$103,2,FALSE),"")</f>
        <v>Penjualan</v>
      </c>
      <c r="F621" s="129"/>
      <c r="G621" s="122">
        <v>872250.0</v>
      </c>
      <c r="H621" s="34"/>
      <c r="I621" s="68">
        <f t="shared" si="1"/>
        <v>72</v>
      </c>
      <c r="J621" s="68" t="str">
        <f t="shared" si="2"/>
        <v>4101-72</v>
      </c>
      <c r="K621" s="71" t="str">
        <f>E620</f>
        <v>Piutang Dagang</v>
      </c>
      <c r="L621" s="34" t="str">
        <f t="shared" si="3"/>
        <v>1103</v>
      </c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5.75" customHeight="1">
      <c r="A622" s="118">
        <v>46261.0</v>
      </c>
      <c r="B622" s="131"/>
      <c r="C622" s="120" t="s">
        <v>579</v>
      </c>
      <c r="D622" s="121" t="s">
        <v>51</v>
      </c>
      <c r="E622" s="43" t="str">
        <f>IFERROR(VLOOKUP(D622,'Daftar Akun'!A$6:$B$103,2,FALSE),"")</f>
        <v>Piutang Ongkir</v>
      </c>
      <c r="F622" s="122">
        <v>950239.0</v>
      </c>
      <c r="G622" s="129"/>
      <c r="H622" s="34"/>
      <c r="I622" s="68">
        <f t="shared" si="1"/>
        <v>47</v>
      </c>
      <c r="J622" s="68" t="str">
        <f t="shared" si="2"/>
        <v>1107-47</v>
      </c>
      <c r="K622" s="71" t="str">
        <f>E623</f>
        <v>Bank</v>
      </c>
      <c r="L622" s="34" t="str">
        <f t="shared" si="3"/>
        <v>1102</v>
      </c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5.75" customHeight="1">
      <c r="A623" s="118">
        <v>46261.0</v>
      </c>
      <c r="B623" s="131"/>
      <c r="C623" s="120" t="s">
        <v>579</v>
      </c>
      <c r="D623" s="121" t="s">
        <v>33</v>
      </c>
      <c r="E623" s="43" t="str">
        <f>IFERROR(VLOOKUP(D623,'Daftar Akun'!A$6:$B$103,2,FALSE),"")</f>
        <v>Bank</v>
      </c>
      <c r="F623" s="129"/>
      <c r="G623" s="122">
        <v>950239.0</v>
      </c>
      <c r="H623" s="34"/>
      <c r="I623" s="68">
        <f t="shared" si="1"/>
        <v>131</v>
      </c>
      <c r="J623" s="68" t="str">
        <f t="shared" si="2"/>
        <v>1102-131</v>
      </c>
      <c r="K623" s="71" t="str">
        <f>E622</f>
        <v>Piutang Ongkir</v>
      </c>
      <c r="L623" s="34" t="str">
        <f t="shared" si="3"/>
        <v>1107</v>
      </c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5.75" customHeight="1">
      <c r="A624" s="118">
        <v>46261.0</v>
      </c>
      <c r="B624" s="119" t="s">
        <v>580</v>
      </c>
      <c r="C624" s="120" t="s">
        <v>327</v>
      </c>
      <c r="D624" s="121" t="s">
        <v>93</v>
      </c>
      <c r="E624" s="43" t="str">
        <f>IFERROR(VLOOKUP(D624,'Daftar Akun'!A$6:$B$103,2,FALSE),"")</f>
        <v>Pembelian Bunga</v>
      </c>
      <c r="F624" s="122">
        <v>500000.0</v>
      </c>
      <c r="G624" s="129"/>
      <c r="H624" s="34"/>
      <c r="I624" s="68">
        <f t="shared" si="1"/>
        <v>102</v>
      </c>
      <c r="J624" s="68" t="str">
        <f t="shared" si="2"/>
        <v>5101-102</v>
      </c>
      <c r="K624" s="71" t="str">
        <f>E625</f>
        <v>Hutang Dagang</v>
      </c>
      <c r="L624" s="34" t="str">
        <f t="shared" si="3"/>
        <v>2101</v>
      </c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5.75" customHeight="1">
      <c r="A625" s="118">
        <v>46261.0</v>
      </c>
      <c r="B625" s="119" t="s">
        <v>580</v>
      </c>
      <c r="C625" s="120" t="s">
        <v>327</v>
      </c>
      <c r="D625" s="121" t="s">
        <v>67</v>
      </c>
      <c r="E625" s="43" t="str">
        <f>IFERROR(VLOOKUP(D625,'Daftar Akun'!A$6:$B$103,2,FALSE),"")</f>
        <v>Hutang Dagang</v>
      </c>
      <c r="F625" s="129"/>
      <c r="G625" s="122">
        <v>500000.0</v>
      </c>
      <c r="H625" s="34"/>
      <c r="I625" s="68">
        <f t="shared" si="1"/>
        <v>23</v>
      </c>
      <c r="J625" s="68" t="str">
        <f t="shared" si="2"/>
        <v>2101-23</v>
      </c>
      <c r="K625" s="71" t="str">
        <f>E624</f>
        <v>Pembelian Bunga</v>
      </c>
      <c r="L625" s="34" t="str">
        <f t="shared" si="3"/>
        <v>5101</v>
      </c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5.75" customHeight="1">
      <c r="A626" s="118">
        <v>46261.0</v>
      </c>
      <c r="B626" s="119" t="s">
        <v>581</v>
      </c>
      <c r="C626" s="120" t="s">
        <v>469</v>
      </c>
      <c r="D626" s="121" t="s">
        <v>93</v>
      </c>
      <c r="E626" s="43" t="str">
        <f>IFERROR(VLOOKUP(D626,'Daftar Akun'!A$6:$B$103,2,FALSE),"")</f>
        <v>Pembelian Bunga</v>
      </c>
      <c r="F626" s="122">
        <v>50000.0</v>
      </c>
      <c r="G626" s="129"/>
      <c r="H626" s="34"/>
      <c r="I626" s="68">
        <f t="shared" si="1"/>
        <v>103</v>
      </c>
      <c r="J626" s="68" t="str">
        <f t="shared" si="2"/>
        <v>5101-103</v>
      </c>
      <c r="K626" s="71" t="str">
        <f>E627</f>
        <v>Kas</v>
      </c>
      <c r="L626" s="34" t="str">
        <f t="shared" si="3"/>
        <v>1101</v>
      </c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5.75" customHeight="1">
      <c r="A627" s="118">
        <v>46261.0</v>
      </c>
      <c r="B627" s="119" t="s">
        <v>581</v>
      </c>
      <c r="C627" s="120" t="s">
        <v>469</v>
      </c>
      <c r="D627" s="121" t="s">
        <v>18</v>
      </c>
      <c r="E627" s="43" t="str">
        <f>IFERROR(VLOOKUP(D627,'Daftar Akun'!A$6:$B$103,2,FALSE),"")</f>
        <v>Kas</v>
      </c>
      <c r="F627" s="129"/>
      <c r="G627" s="122">
        <v>50000.0</v>
      </c>
      <c r="H627" s="34"/>
      <c r="I627" s="68">
        <f t="shared" si="1"/>
        <v>110</v>
      </c>
      <c r="J627" s="68" t="str">
        <f t="shared" si="2"/>
        <v>1101-110</v>
      </c>
      <c r="K627" s="71" t="str">
        <f>E626</f>
        <v>Pembelian Bunga</v>
      </c>
      <c r="L627" s="34" t="str">
        <f t="shared" si="3"/>
        <v>5101</v>
      </c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5.75" customHeight="1">
      <c r="A628" s="118">
        <v>46261.0</v>
      </c>
      <c r="B628" s="119" t="s">
        <v>582</v>
      </c>
      <c r="C628" s="120" t="s">
        <v>459</v>
      </c>
      <c r="D628" s="121" t="s">
        <v>121</v>
      </c>
      <c r="E628" s="43" t="str">
        <f>IFERROR(VLOOKUP(D628,'Daftar Akun'!A$6:$B$103,2,FALSE),"")</f>
        <v>Beban Lain-Lain</v>
      </c>
      <c r="F628" s="122">
        <v>30000.0</v>
      </c>
      <c r="G628" s="129"/>
      <c r="H628" s="34"/>
      <c r="I628" s="68">
        <f t="shared" si="1"/>
        <v>21</v>
      </c>
      <c r="J628" s="68" t="str">
        <f t="shared" si="2"/>
        <v>6108-21</v>
      </c>
      <c r="K628" s="71" t="str">
        <f>E629</f>
        <v>Kas</v>
      </c>
      <c r="L628" s="34" t="str">
        <f t="shared" si="3"/>
        <v>1101</v>
      </c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5.75" customHeight="1">
      <c r="A629" s="118">
        <v>46261.0</v>
      </c>
      <c r="B629" s="119" t="s">
        <v>582</v>
      </c>
      <c r="C629" s="120" t="s">
        <v>459</v>
      </c>
      <c r="D629" s="121" t="s">
        <v>18</v>
      </c>
      <c r="E629" s="43" t="str">
        <f>IFERROR(VLOOKUP(D629,'Daftar Akun'!A$6:$B$103,2,FALSE),"")</f>
        <v>Kas</v>
      </c>
      <c r="F629" s="129"/>
      <c r="G629" s="122">
        <v>30000.0</v>
      </c>
      <c r="H629" s="34"/>
      <c r="I629" s="68">
        <f t="shared" si="1"/>
        <v>111</v>
      </c>
      <c r="J629" s="68" t="str">
        <f t="shared" si="2"/>
        <v>1101-111</v>
      </c>
      <c r="K629" s="71" t="str">
        <f>E628</f>
        <v>Beban Lain-Lain</v>
      </c>
      <c r="L629" s="34" t="str">
        <f t="shared" si="3"/>
        <v>6108</v>
      </c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5.75" customHeight="1">
      <c r="A630" s="118">
        <v>46261.0</v>
      </c>
      <c r="B630" s="119" t="s">
        <v>583</v>
      </c>
      <c r="C630" s="120" t="s">
        <v>249</v>
      </c>
      <c r="D630" s="121" t="s">
        <v>93</v>
      </c>
      <c r="E630" s="43" t="str">
        <f>IFERROR(VLOOKUP(D630,'Daftar Akun'!A$6:$B$103,2,FALSE),"")</f>
        <v>Pembelian Bunga</v>
      </c>
      <c r="F630" s="122">
        <v>228000.0</v>
      </c>
      <c r="G630" s="129"/>
      <c r="H630" s="34"/>
      <c r="I630" s="68">
        <f t="shared" si="1"/>
        <v>104</v>
      </c>
      <c r="J630" s="68" t="str">
        <f t="shared" si="2"/>
        <v>5101-104</v>
      </c>
      <c r="K630" s="71" t="str">
        <f>E631</f>
        <v>Kas</v>
      </c>
      <c r="L630" s="34" t="str">
        <f t="shared" si="3"/>
        <v>1101</v>
      </c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5.75" customHeight="1">
      <c r="A631" s="118">
        <v>46261.0</v>
      </c>
      <c r="B631" s="119" t="s">
        <v>583</v>
      </c>
      <c r="C631" s="120" t="s">
        <v>249</v>
      </c>
      <c r="D631" s="121" t="s">
        <v>18</v>
      </c>
      <c r="E631" s="43" t="str">
        <f>IFERROR(VLOOKUP(D631,'Daftar Akun'!A$6:$B$103,2,FALSE),"")</f>
        <v>Kas</v>
      </c>
      <c r="F631" s="129"/>
      <c r="G631" s="122">
        <v>228000.0</v>
      </c>
      <c r="H631" s="34"/>
      <c r="I631" s="68">
        <f t="shared" si="1"/>
        <v>112</v>
      </c>
      <c r="J631" s="68" t="str">
        <f t="shared" si="2"/>
        <v>1101-112</v>
      </c>
      <c r="K631" s="71" t="str">
        <f>E630</f>
        <v>Pembelian Bunga</v>
      </c>
      <c r="L631" s="34" t="str">
        <f t="shared" si="3"/>
        <v>5101</v>
      </c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5.75" customHeight="1">
      <c r="A632" s="118">
        <v>46261.0</v>
      </c>
      <c r="B632" s="119" t="s">
        <v>584</v>
      </c>
      <c r="C632" s="120" t="s">
        <v>555</v>
      </c>
      <c r="D632" s="121" t="s">
        <v>93</v>
      </c>
      <c r="E632" s="43" t="str">
        <f>IFERROR(VLOOKUP(D632,'Daftar Akun'!A$6:$B$103,2,FALSE),"")</f>
        <v>Pembelian Bunga</v>
      </c>
      <c r="F632" s="122">
        <v>45000.0</v>
      </c>
      <c r="G632" s="129"/>
      <c r="H632" s="34"/>
      <c r="I632" s="68">
        <f t="shared" si="1"/>
        <v>105</v>
      </c>
      <c r="J632" s="68" t="str">
        <f t="shared" si="2"/>
        <v>5101-105</v>
      </c>
      <c r="K632" s="71" t="str">
        <f>E633</f>
        <v>Kas</v>
      </c>
      <c r="L632" s="34" t="str">
        <f t="shared" si="3"/>
        <v>1101</v>
      </c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5.75" customHeight="1">
      <c r="A633" s="118">
        <v>46261.0</v>
      </c>
      <c r="B633" s="119" t="s">
        <v>584</v>
      </c>
      <c r="C633" s="120" t="s">
        <v>555</v>
      </c>
      <c r="D633" s="121" t="s">
        <v>18</v>
      </c>
      <c r="E633" s="43" t="str">
        <f>IFERROR(VLOOKUP(D633,'Daftar Akun'!A$6:$B$103,2,FALSE),"")</f>
        <v>Kas</v>
      </c>
      <c r="F633" s="129"/>
      <c r="G633" s="122">
        <v>45000.0</v>
      </c>
      <c r="H633" s="34"/>
      <c r="I633" s="68">
        <f t="shared" si="1"/>
        <v>113</v>
      </c>
      <c r="J633" s="68" t="str">
        <f t="shared" si="2"/>
        <v>1101-113</v>
      </c>
      <c r="K633" s="71" t="str">
        <f>E632</f>
        <v>Pembelian Bunga</v>
      </c>
      <c r="L633" s="34" t="str">
        <f t="shared" si="3"/>
        <v>5101</v>
      </c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5.75" customHeight="1">
      <c r="A634" s="118">
        <v>46261.0</v>
      </c>
      <c r="B634" s="119" t="s">
        <v>585</v>
      </c>
      <c r="C634" s="120" t="s">
        <v>157</v>
      </c>
      <c r="D634" s="121" t="s">
        <v>93</v>
      </c>
      <c r="E634" s="43" t="str">
        <f>IFERROR(VLOOKUP(D634,'Daftar Akun'!A$6:$B$103,2,FALSE),"")</f>
        <v>Pembelian Bunga</v>
      </c>
      <c r="F634" s="122">
        <v>300000.0</v>
      </c>
      <c r="G634" s="129"/>
      <c r="H634" s="34"/>
      <c r="I634" s="68">
        <f t="shared" si="1"/>
        <v>106</v>
      </c>
      <c r="J634" s="68" t="str">
        <f t="shared" si="2"/>
        <v>5101-106</v>
      </c>
      <c r="K634" s="71" t="str">
        <f>E635</f>
        <v>Bank</v>
      </c>
      <c r="L634" s="34" t="str">
        <f t="shared" si="3"/>
        <v>1102</v>
      </c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5.75" customHeight="1">
      <c r="A635" s="118">
        <v>46261.0</v>
      </c>
      <c r="B635" s="119" t="s">
        <v>585</v>
      </c>
      <c r="C635" s="120" t="s">
        <v>157</v>
      </c>
      <c r="D635" s="121" t="s">
        <v>33</v>
      </c>
      <c r="E635" s="43" t="str">
        <f>IFERROR(VLOOKUP(D635,'Daftar Akun'!A$6:$B$103,2,FALSE),"")</f>
        <v>Bank</v>
      </c>
      <c r="F635" s="129"/>
      <c r="G635" s="122">
        <v>300000.0</v>
      </c>
      <c r="H635" s="34"/>
      <c r="I635" s="68">
        <f t="shared" si="1"/>
        <v>132</v>
      </c>
      <c r="J635" s="68" t="str">
        <f t="shared" si="2"/>
        <v>1102-132</v>
      </c>
      <c r="K635" s="71" t="str">
        <f>E634</f>
        <v>Pembelian Bunga</v>
      </c>
      <c r="L635" s="34" t="str">
        <f t="shared" si="3"/>
        <v>5101</v>
      </c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5.75" customHeight="1">
      <c r="A636" s="118">
        <v>46261.0</v>
      </c>
      <c r="B636" s="131"/>
      <c r="C636" s="120" t="s">
        <v>586</v>
      </c>
      <c r="D636" s="121" t="s">
        <v>93</v>
      </c>
      <c r="E636" s="43" t="str">
        <f>IFERROR(VLOOKUP(D636,'Daftar Akun'!A$6:$B$103,2,FALSE),"")</f>
        <v>Pembelian Bunga</v>
      </c>
      <c r="F636" s="122">
        <v>526000.0</v>
      </c>
      <c r="G636" s="129"/>
      <c r="H636" s="34"/>
      <c r="I636" s="68">
        <f t="shared" si="1"/>
        <v>107</v>
      </c>
      <c r="J636" s="68" t="str">
        <f t="shared" si="2"/>
        <v>5101-107</v>
      </c>
      <c r="K636" s="71" t="str">
        <f>E637</f>
        <v>Bank</v>
      </c>
      <c r="L636" s="34" t="str">
        <f t="shared" si="3"/>
        <v>1102</v>
      </c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5.75" customHeight="1">
      <c r="A637" s="118">
        <v>46261.0</v>
      </c>
      <c r="B637" s="131"/>
      <c r="C637" s="120" t="s">
        <v>586</v>
      </c>
      <c r="D637" s="121" t="s">
        <v>33</v>
      </c>
      <c r="E637" s="43" t="str">
        <f>IFERROR(VLOOKUP(D637,'Daftar Akun'!A$6:$B$103,2,FALSE),"")</f>
        <v>Bank</v>
      </c>
      <c r="F637" s="129"/>
      <c r="G637" s="122">
        <v>526000.0</v>
      </c>
      <c r="H637" s="34"/>
      <c r="I637" s="68">
        <f t="shared" si="1"/>
        <v>133</v>
      </c>
      <c r="J637" s="68" t="str">
        <f t="shared" si="2"/>
        <v>1102-133</v>
      </c>
      <c r="K637" s="71" t="str">
        <f>E636</f>
        <v>Pembelian Bunga</v>
      </c>
      <c r="L637" s="34" t="str">
        <f t="shared" si="3"/>
        <v>5101</v>
      </c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5.75" customHeight="1">
      <c r="A638" s="118">
        <v>46261.0</v>
      </c>
      <c r="B638" s="131"/>
      <c r="C638" s="120" t="s">
        <v>587</v>
      </c>
      <c r="D638" s="121" t="s">
        <v>33</v>
      </c>
      <c r="E638" s="43" t="str">
        <f>IFERROR(VLOOKUP(D638,'Daftar Akun'!A$6:$B$103,2,FALSE),"")</f>
        <v>Bank</v>
      </c>
      <c r="F638" s="122">
        <v>950239.0</v>
      </c>
      <c r="G638" s="129"/>
      <c r="H638" s="34"/>
      <c r="I638" s="68">
        <f t="shared" si="1"/>
        <v>134</v>
      </c>
      <c r="J638" s="68" t="str">
        <f t="shared" si="2"/>
        <v>1102-134</v>
      </c>
      <c r="K638" s="71" t="str">
        <f>E639</f>
        <v>Piutang Ongkir</v>
      </c>
      <c r="L638" s="34" t="str">
        <f t="shared" si="3"/>
        <v>1107</v>
      </c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5.75" customHeight="1">
      <c r="A639" s="118">
        <v>46261.0</v>
      </c>
      <c r="B639" s="131"/>
      <c r="C639" s="120" t="s">
        <v>587</v>
      </c>
      <c r="D639" s="121" t="s">
        <v>51</v>
      </c>
      <c r="E639" s="43" t="str">
        <f>IFERROR(VLOOKUP(D639,'Daftar Akun'!A$6:$B$103,2,FALSE),"")</f>
        <v>Piutang Ongkir</v>
      </c>
      <c r="F639" s="129"/>
      <c r="G639" s="122">
        <v>950239.0</v>
      </c>
      <c r="H639" s="34"/>
      <c r="I639" s="68">
        <f t="shared" si="1"/>
        <v>48</v>
      </c>
      <c r="J639" s="68" t="str">
        <f t="shared" si="2"/>
        <v>1107-48</v>
      </c>
      <c r="K639" s="71" t="str">
        <f>E638</f>
        <v>Bank</v>
      </c>
      <c r="L639" s="34" t="str">
        <f t="shared" si="3"/>
        <v>1102</v>
      </c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5.75" customHeight="1">
      <c r="A640" s="118">
        <v>46261.0</v>
      </c>
      <c r="B640" s="131"/>
      <c r="C640" s="120" t="s">
        <v>588</v>
      </c>
      <c r="D640" s="121" t="s">
        <v>33</v>
      </c>
      <c r="E640" s="43" t="str">
        <f>IFERROR(VLOOKUP(D640,'Daftar Akun'!A$6:$B$103,2,FALSE),"")</f>
        <v>Bank</v>
      </c>
      <c r="F640" s="122">
        <v>872250.0</v>
      </c>
      <c r="G640" s="129"/>
      <c r="H640" s="34"/>
      <c r="I640" s="68">
        <f t="shared" si="1"/>
        <v>135</v>
      </c>
      <c r="J640" s="68" t="str">
        <f t="shared" si="2"/>
        <v>1102-135</v>
      </c>
      <c r="K640" s="71" t="str">
        <f>E641</f>
        <v>Piutang Dagang</v>
      </c>
      <c r="L640" s="34" t="str">
        <f t="shared" si="3"/>
        <v>1103</v>
      </c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5.75" customHeight="1">
      <c r="A641" s="118">
        <v>46261.0</v>
      </c>
      <c r="B641" s="131"/>
      <c r="C641" s="120" t="s">
        <v>588</v>
      </c>
      <c r="D641" s="121" t="s">
        <v>36</v>
      </c>
      <c r="E641" s="43" t="str">
        <f>IFERROR(VLOOKUP(D641,'Daftar Akun'!A$6:$B$103,2,FALSE),"")</f>
        <v>Piutang Dagang</v>
      </c>
      <c r="F641" s="129"/>
      <c r="G641" s="122">
        <v>872250.0</v>
      </c>
      <c r="H641" s="34"/>
      <c r="I641" s="68">
        <f t="shared" si="1"/>
        <v>78</v>
      </c>
      <c r="J641" s="68" t="str">
        <f t="shared" si="2"/>
        <v>1103-78</v>
      </c>
      <c r="K641" s="71" t="str">
        <f>E640</f>
        <v>Bank</v>
      </c>
      <c r="L641" s="34" t="str">
        <f t="shared" si="3"/>
        <v>1102</v>
      </c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5.75" customHeight="1">
      <c r="A642" s="118">
        <v>46261.0</v>
      </c>
      <c r="B642" s="131"/>
      <c r="C642" s="120" t="s">
        <v>589</v>
      </c>
      <c r="D642" s="121" t="s">
        <v>33</v>
      </c>
      <c r="E642" s="43" t="str">
        <f>IFERROR(VLOOKUP(D642,'Daftar Akun'!A$6:$B$103,2,FALSE),"")</f>
        <v>Bank</v>
      </c>
      <c r="F642" s="122">
        <v>925000.0</v>
      </c>
      <c r="G642" s="129"/>
      <c r="H642" s="34"/>
      <c r="I642" s="68">
        <f t="shared" si="1"/>
        <v>136</v>
      </c>
      <c r="J642" s="68" t="str">
        <f t="shared" si="2"/>
        <v>1102-136</v>
      </c>
      <c r="K642" s="71" t="str">
        <f>E643</f>
        <v>Piutang Dagang</v>
      </c>
      <c r="L642" s="34" t="str">
        <f t="shared" si="3"/>
        <v>1103</v>
      </c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5.75" customHeight="1">
      <c r="A643" s="118">
        <v>46261.0</v>
      </c>
      <c r="B643" s="131"/>
      <c r="C643" s="120" t="s">
        <v>589</v>
      </c>
      <c r="D643" s="121" t="s">
        <v>36</v>
      </c>
      <c r="E643" s="43" t="str">
        <f>IFERROR(VLOOKUP(D643,'Daftar Akun'!A$6:$B$103,2,FALSE),"")</f>
        <v>Piutang Dagang</v>
      </c>
      <c r="F643" s="129"/>
      <c r="G643" s="122">
        <v>925000.0</v>
      </c>
      <c r="H643" s="34"/>
      <c r="I643" s="68">
        <f t="shared" si="1"/>
        <v>79</v>
      </c>
      <c r="J643" s="68" t="str">
        <f t="shared" si="2"/>
        <v>1103-79</v>
      </c>
      <c r="K643" s="71" t="str">
        <f>E642</f>
        <v>Bank</v>
      </c>
      <c r="L643" s="34" t="str">
        <f t="shared" si="3"/>
        <v>1102</v>
      </c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5.75" customHeight="1">
      <c r="A644" s="118">
        <v>46261.0</v>
      </c>
      <c r="B644" s="131"/>
      <c r="C644" s="120" t="s">
        <v>590</v>
      </c>
      <c r="D644" s="121" t="s">
        <v>33</v>
      </c>
      <c r="E644" s="43" t="str">
        <f>IFERROR(VLOOKUP(D644,'Daftar Akun'!A$6:$B$103,2,FALSE),"")</f>
        <v>Bank</v>
      </c>
      <c r="F644" s="122">
        <v>75000.0</v>
      </c>
      <c r="G644" s="129"/>
      <c r="H644" s="34"/>
      <c r="I644" s="68">
        <f t="shared" si="1"/>
        <v>137</v>
      </c>
      <c r="J644" s="68" t="str">
        <f t="shared" si="2"/>
        <v>1102-137</v>
      </c>
      <c r="K644" s="71" t="str">
        <f>E645</f>
        <v>Pendapatan Lain-Lain</v>
      </c>
      <c r="L644" s="34" t="str">
        <f t="shared" si="3"/>
        <v>4104</v>
      </c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5.75" customHeight="1">
      <c r="A645" s="118">
        <v>46261.0</v>
      </c>
      <c r="B645" s="131"/>
      <c r="C645" s="120" t="s">
        <v>590</v>
      </c>
      <c r="D645" s="121" t="s">
        <v>91</v>
      </c>
      <c r="E645" s="43" t="str">
        <f>IFERROR(VLOOKUP(D645,'Daftar Akun'!A$6:$B$103,2,FALSE),"")</f>
        <v>Pendapatan Lain-Lain</v>
      </c>
      <c r="F645" s="129"/>
      <c r="G645" s="122">
        <v>75000.0</v>
      </c>
      <c r="H645" s="34"/>
      <c r="I645" s="68">
        <f t="shared" si="1"/>
        <v>1</v>
      </c>
      <c r="J645" s="68" t="str">
        <f t="shared" si="2"/>
        <v>4104-1</v>
      </c>
      <c r="K645" s="71" t="str">
        <f>E644</f>
        <v>Bank</v>
      </c>
      <c r="L645" s="34" t="str">
        <f t="shared" si="3"/>
        <v>1102</v>
      </c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5.75" customHeight="1">
      <c r="A646" s="118">
        <v>46261.0</v>
      </c>
      <c r="B646" s="119" t="s">
        <v>591</v>
      </c>
      <c r="C646" s="120" t="s">
        <v>442</v>
      </c>
      <c r="D646" s="121" t="s">
        <v>36</v>
      </c>
      <c r="E646" s="43" t="str">
        <f>IFERROR(VLOOKUP(D646,'Daftar Akun'!A$6:$B$103,2,FALSE),"")</f>
        <v>Piutang Dagang</v>
      </c>
      <c r="F646" s="122">
        <v>1610000.0</v>
      </c>
      <c r="G646" s="129"/>
      <c r="H646" s="34"/>
      <c r="I646" s="68">
        <f t="shared" si="1"/>
        <v>80</v>
      </c>
      <c r="J646" s="68" t="str">
        <f t="shared" si="2"/>
        <v>1103-80</v>
      </c>
      <c r="K646" s="71" t="str">
        <f>E647</f>
        <v>Penjualan</v>
      </c>
      <c r="L646" s="34" t="str">
        <f t="shared" si="3"/>
        <v>4101</v>
      </c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5.75" customHeight="1">
      <c r="A647" s="118">
        <v>46261.0</v>
      </c>
      <c r="B647" s="119" t="s">
        <v>591</v>
      </c>
      <c r="C647" s="120" t="s">
        <v>442</v>
      </c>
      <c r="D647" s="121" t="s">
        <v>80</v>
      </c>
      <c r="E647" s="43" t="str">
        <f>IFERROR(VLOOKUP(D647,'Daftar Akun'!A$6:$B$103,2,FALSE),"")</f>
        <v>Penjualan</v>
      </c>
      <c r="F647" s="129"/>
      <c r="G647" s="122">
        <v>1610000.0</v>
      </c>
      <c r="H647" s="34"/>
      <c r="I647" s="68">
        <f t="shared" si="1"/>
        <v>73</v>
      </c>
      <c r="J647" s="68" t="str">
        <f t="shared" si="2"/>
        <v>4101-73</v>
      </c>
      <c r="K647" s="71" t="str">
        <f>E646</f>
        <v>Piutang Dagang</v>
      </c>
      <c r="L647" s="34" t="str">
        <f t="shared" si="3"/>
        <v>1103</v>
      </c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5.75" customHeight="1">
      <c r="A648" s="118">
        <v>46261.0</v>
      </c>
      <c r="B648" s="119" t="s">
        <v>592</v>
      </c>
      <c r="C648" s="120" t="s">
        <v>451</v>
      </c>
      <c r="D648" s="121" t="s">
        <v>36</v>
      </c>
      <c r="E648" s="43" t="str">
        <f>IFERROR(VLOOKUP(D648,'Daftar Akun'!A$6:$B$103,2,FALSE),"")</f>
        <v>Piutang Dagang</v>
      </c>
      <c r="F648" s="122">
        <v>869875.0</v>
      </c>
      <c r="G648" s="129"/>
      <c r="H648" s="34"/>
      <c r="I648" s="68">
        <f t="shared" si="1"/>
        <v>81</v>
      </c>
      <c r="J648" s="68" t="str">
        <f t="shared" si="2"/>
        <v>1103-81</v>
      </c>
      <c r="K648" s="71" t="str">
        <f>E649</f>
        <v>Penjualan</v>
      </c>
      <c r="L648" s="34" t="str">
        <f t="shared" si="3"/>
        <v>4101</v>
      </c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5.75" customHeight="1">
      <c r="A649" s="118">
        <v>46261.0</v>
      </c>
      <c r="B649" s="119" t="s">
        <v>592</v>
      </c>
      <c r="C649" s="120" t="s">
        <v>451</v>
      </c>
      <c r="D649" s="121" t="s">
        <v>80</v>
      </c>
      <c r="E649" s="43" t="str">
        <f>IFERROR(VLOOKUP(D649,'Daftar Akun'!A$6:$B$103,2,FALSE),"")</f>
        <v>Penjualan</v>
      </c>
      <c r="F649" s="129"/>
      <c r="G649" s="122">
        <v>869875.0</v>
      </c>
      <c r="H649" s="34"/>
      <c r="I649" s="68">
        <f t="shared" si="1"/>
        <v>74</v>
      </c>
      <c r="J649" s="68" t="str">
        <f t="shared" si="2"/>
        <v>4101-74</v>
      </c>
      <c r="K649" s="71" t="str">
        <f>E648</f>
        <v>Piutang Dagang</v>
      </c>
      <c r="L649" s="34" t="str">
        <f t="shared" si="3"/>
        <v>1103</v>
      </c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5.75" customHeight="1">
      <c r="A650" s="118">
        <v>46261.0</v>
      </c>
      <c r="B650" s="119" t="s">
        <v>593</v>
      </c>
      <c r="C650" s="120" t="s">
        <v>594</v>
      </c>
      <c r="D650" s="121" t="s">
        <v>36</v>
      </c>
      <c r="E650" s="43" t="str">
        <f>IFERROR(VLOOKUP(D650,'Daftar Akun'!A$6:$B$103,2,FALSE),"")</f>
        <v>Piutang Dagang</v>
      </c>
      <c r="F650" s="122">
        <v>744000.0</v>
      </c>
      <c r="G650" s="129"/>
      <c r="H650" s="34"/>
      <c r="I650" s="68">
        <f t="shared" si="1"/>
        <v>82</v>
      </c>
      <c r="J650" s="68" t="str">
        <f t="shared" si="2"/>
        <v>1103-82</v>
      </c>
      <c r="K650" s="71" t="str">
        <f>E651</f>
        <v>Penjualan</v>
      </c>
      <c r="L650" s="34" t="str">
        <f t="shared" si="3"/>
        <v>4101</v>
      </c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5.75" customHeight="1">
      <c r="A651" s="118">
        <v>46261.0</v>
      </c>
      <c r="B651" s="119" t="s">
        <v>593</v>
      </c>
      <c r="C651" s="120" t="s">
        <v>594</v>
      </c>
      <c r="D651" s="121" t="s">
        <v>80</v>
      </c>
      <c r="E651" s="43" t="str">
        <f>IFERROR(VLOOKUP(D651,'Daftar Akun'!A$6:$B$103,2,FALSE),"")</f>
        <v>Penjualan</v>
      </c>
      <c r="F651" s="129"/>
      <c r="G651" s="122">
        <v>744000.0</v>
      </c>
      <c r="H651" s="34"/>
      <c r="I651" s="68">
        <f t="shared" si="1"/>
        <v>75</v>
      </c>
      <c r="J651" s="68" t="str">
        <f t="shared" si="2"/>
        <v>4101-75</v>
      </c>
      <c r="K651" s="71" t="str">
        <f>E650</f>
        <v>Piutang Dagang</v>
      </c>
      <c r="L651" s="34" t="str">
        <f t="shared" si="3"/>
        <v>1103</v>
      </c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5.75" customHeight="1">
      <c r="A652" s="118">
        <v>46262.0</v>
      </c>
      <c r="B652" s="131"/>
      <c r="C652" s="120" t="s">
        <v>595</v>
      </c>
      <c r="D652" s="121" t="s">
        <v>51</v>
      </c>
      <c r="E652" s="43" t="str">
        <f>IFERROR(VLOOKUP(D652,'Daftar Akun'!A$6:$B$103,2,FALSE),"")</f>
        <v>Piutang Ongkir</v>
      </c>
      <c r="F652" s="122">
        <v>2132101.0</v>
      </c>
      <c r="G652" s="129"/>
      <c r="H652" s="34"/>
      <c r="I652" s="68">
        <f t="shared" si="1"/>
        <v>49</v>
      </c>
      <c r="J652" s="68" t="str">
        <f t="shared" si="2"/>
        <v>1107-49</v>
      </c>
      <c r="K652" s="71" t="str">
        <f>E653</f>
        <v>Bank</v>
      </c>
      <c r="L652" s="34" t="str">
        <f t="shared" si="3"/>
        <v>1102</v>
      </c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5.75" customHeight="1">
      <c r="A653" s="118">
        <v>46262.0</v>
      </c>
      <c r="B653" s="131"/>
      <c r="C653" s="120" t="s">
        <v>595</v>
      </c>
      <c r="D653" s="121" t="s">
        <v>33</v>
      </c>
      <c r="E653" s="43" t="str">
        <f>IFERROR(VLOOKUP(D653,'Daftar Akun'!A$6:$B$103,2,FALSE),"")</f>
        <v>Bank</v>
      </c>
      <c r="F653" s="129"/>
      <c r="G653" s="122">
        <v>2132101.0</v>
      </c>
      <c r="H653" s="34"/>
      <c r="I653" s="68">
        <f t="shared" si="1"/>
        <v>138</v>
      </c>
      <c r="J653" s="68" t="str">
        <f t="shared" si="2"/>
        <v>1102-138</v>
      </c>
      <c r="K653" s="71" t="str">
        <f>E652</f>
        <v>Piutang Ongkir</v>
      </c>
      <c r="L653" s="34" t="str">
        <f t="shared" si="3"/>
        <v>1107</v>
      </c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5.75" customHeight="1">
      <c r="A654" s="118">
        <v>46262.0</v>
      </c>
      <c r="B654" s="131"/>
      <c r="C654" s="120" t="s">
        <v>160</v>
      </c>
      <c r="D654" s="121" t="s">
        <v>18</v>
      </c>
      <c r="E654" s="43" t="str">
        <f>IFERROR(VLOOKUP(D654,'Daftar Akun'!A$6:$B$103,2,FALSE),"")</f>
        <v>Kas</v>
      </c>
      <c r="F654" s="122">
        <v>1527000.0</v>
      </c>
      <c r="G654" s="129"/>
      <c r="H654" s="34"/>
      <c r="I654" s="68">
        <f t="shared" si="1"/>
        <v>114</v>
      </c>
      <c r="J654" s="68" t="str">
        <f t="shared" si="2"/>
        <v>1101-114</v>
      </c>
      <c r="K654" s="71" t="str">
        <f>E655</f>
        <v>Bank</v>
      </c>
      <c r="L654" s="34" t="str">
        <f t="shared" si="3"/>
        <v>1102</v>
      </c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5.75" customHeight="1">
      <c r="A655" s="118">
        <v>46262.0</v>
      </c>
      <c r="B655" s="131"/>
      <c r="C655" s="120" t="s">
        <v>160</v>
      </c>
      <c r="D655" s="121" t="s">
        <v>33</v>
      </c>
      <c r="E655" s="43" t="str">
        <f>IFERROR(VLOOKUP(D655,'Daftar Akun'!A$6:$B$103,2,FALSE),"")</f>
        <v>Bank</v>
      </c>
      <c r="F655" s="129"/>
      <c r="G655" s="122">
        <v>1527000.0</v>
      </c>
      <c r="H655" s="34"/>
      <c r="I655" s="68">
        <f t="shared" si="1"/>
        <v>139</v>
      </c>
      <c r="J655" s="68" t="str">
        <f t="shared" si="2"/>
        <v>1102-139</v>
      </c>
      <c r="K655" s="71" t="str">
        <f>E654</f>
        <v>Kas</v>
      </c>
      <c r="L655" s="34" t="str">
        <f t="shared" si="3"/>
        <v>1101</v>
      </c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5.75" customHeight="1">
      <c r="A656" s="118">
        <v>46262.0</v>
      </c>
      <c r="B656" s="131"/>
      <c r="C656" s="120" t="s">
        <v>249</v>
      </c>
      <c r="D656" s="121" t="s">
        <v>93</v>
      </c>
      <c r="E656" s="43" t="str">
        <f>IFERROR(VLOOKUP(D656,'Daftar Akun'!A$6:$B$103,2,FALSE),"")</f>
        <v>Pembelian Bunga</v>
      </c>
      <c r="F656" s="122">
        <v>181000.0</v>
      </c>
      <c r="G656" s="129"/>
      <c r="H656" s="34"/>
      <c r="I656" s="68">
        <f t="shared" si="1"/>
        <v>108</v>
      </c>
      <c r="J656" s="68" t="str">
        <f t="shared" si="2"/>
        <v>5101-108</v>
      </c>
      <c r="K656" s="71" t="str">
        <f>E657</f>
        <v>Kas</v>
      </c>
      <c r="L656" s="34" t="str">
        <f t="shared" si="3"/>
        <v>1101</v>
      </c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5.75" customHeight="1">
      <c r="A657" s="118">
        <v>46262.0</v>
      </c>
      <c r="B657" s="131"/>
      <c r="C657" s="120" t="s">
        <v>249</v>
      </c>
      <c r="D657" s="121" t="s">
        <v>18</v>
      </c>
      <c r="E657" s="43" t="str">
        <f>IFERROR(VLOOKUP(D657,'Daftar Akun'!A$6:$B$103,2,FALSE),"")</f>
        <v>Kas</v>
      </c>
      <c r="F657" s="129"/>
      <c r="G657" s="122">
        <v>181000.0</v>
      </c>
      <c r="H657" s="34"/>
      <c r="I657" s="68">
        <f t="shared" si="1"/>
        <v>115</v>
      </c>
      <c r="J657" s="68" t="str">
        <f t="shared" si="2"/>
        <v>1101-115</v>
      </c>
      <c r="K657" s="71" t="str">
        <f>E656</f>
        <v>Pembelian Bunga</v>
      </c>
      <c r="L657" s="34" t="str">
        <f t="shared" si="3"/>
        <v>5101</v>
      </c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5.75" customHeight="1">
      <c r="A658" s="118">
        <v>46262.0</v>
      </c>
      <c r="B658" s="131"/>
      <c r="C658" s="120" t="s">
        <v>596</v>
      </c>
      <c r="D658" s="121" t="s">
        <v>33</v>
      </c>
      <c r="E658" s="43" t="str">
        <f>IFERROR(VLOOKUP(D658,'Daftar Akun'!A$6:$B$103,2,FALSE),"")</f>
        <v>Bank</v>
      </c>
      <c r="F658" s="122">
        <v>3223875.0</v>
      </c>
      <c r="G658" s="129"/>
      <c r="H658" s="34"/>
      <c r="I658" s="68">
        <f t="shared" si="1"/>
        <v>140</v>
      </c>
      <c r="J658" s="68" t="str">
        <f t="shared" si="2"/>
        <v>1102-140</v>
      </c>
      <c r="K658" s="71" t="str">
        <f>E659</f>
        <v>Piutang Dagang</v>
      </c>
      <c r="L658" s="34" t="str">
        <f t="shared" si="3"/>
        <v>1103</v>
      </c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5.75" customHeight="1">
      <c r="A659" s="118">
        <v>46262.0</v>
      </c>
      <c r="B659" s="131"/>
      <c r="C659" s="120" t="s">
        <v>596</v>
      </c>
      <c r="D659" s="121" t="s">
        <v>36</v>
      </c>
      <c r="E659" s="43" t="str">
        <f>IFERROR(VLOOKUP(D659,'Daftar Akun'!A$6:$B$103,2,FALSE),"")</f>
        <v>Piutang Dagang</v>
      </c>
      <c r="F659" s="129"/>
      <c r="G659" s="122">
        <v>3223875.0</v>
      </c>
      <c r="H659" s="34"/>
      <c r="I659" s="68">
        <f t="shared" si="1"/>
        <v>83</v>
      </c>
      <c r="J659" s="68" t="str">
        <f t="shared" si="2"/>
        <v>1103-83</v>
      </c>
      <c r="K659" s="71" t="str">
        <f>E658</f>
        <v>Bank</v>
      </c>
      <c r="L659" s="34" t="str">
        <f t="shared" si="3"/>
        <v>1102</v>
      </c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5.75" customHeight="1">
      <c r="A660" s="118">
        <v>46262.0</v>
      </c>
      <c r="B660" s="131"/>
      <c r="C660" s="120" t="s">
        <v>597</v>
      </c>
      <c r="D660" s="121" t="s">
        <v>51</v>
      </c>
      <c r="E660" s="43" t="str">
        <f>IFERROR(VLOOKUP(D660,'Daftar Akun'!A$6:$B$103,2,FALSE),"")</f>
        <v>Piutang Ongkir</v>
      </c>
      <c r="F660" s="122">
        <v>50000.0</v>
      </c>
      <c r="G660" s="129"/>
      <c r="H660" s="34"/>
      <c r="I660" s="68">
        <f t="shared" si="1"/>
        <v>50</v>
      </c>
      <c r="J660" s="68" t="str">
        <f t="shared" si="2"/>
        <v>1107-50</v>
      </c>
      <c r="K660" s="71" t="str">
        <f>E661</f>
        <v>Kas</v>
      </c>
      <c r="L660" s="34" t="str">
        <f t="shared" si="3"/>
        <v>1101</v>
      </c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5.75" customHeight="1">
      <c r="A661" s="118">
        <v>46262.0</v>
      </c>
      <c r="B661" s="131"/>
      <c r="C661" s="120" t="s">
        <v>597</v>
      </c>
      <c r="D661" s="121" t="s">
        <v>18</v>
      </c>
      <c r="E661" s="43" t="str">
        <f>IFERROR(VLOOKUP(D661,'Daftar Akun'!A$6:$B$103,2,FALSE),"")</f>
        <v>Kas</v>
      </c>
      <c r="F661" s="129"/>
      <c r="G661" s="122">
        <v>50000.0</v>
      </c>
      <c r="H661" s="34"/>
      <c r="I661" s="68">
        <f t="shared" si="1"/>
        <v>116</v>
      </c>
      <c r="J661" s="68" t="str">
        <f t="shared" si="2"/>
        <v>1101-116</v>
      </c>
      <c r="K661" s="71" t="str">
        <f>E660</f>
        <v>Piutang Ongkir</v>
      </c>
      <c r="L661" s="34" t="str">
        <f t="shared" si="3"/>
        <v>1107</v>
      </c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5.75" customHeight="1">
      <c r="A662" s="118">
        <v>46262.0</v>
      </c>
      <c r="B662" s="131"/>
      <c r="C662" s="120" t="s">
        <v>598</v>
      </c>
      <c r="D662" s="121" t="s">
        <v>110</v>
      </c>
      <c r="E662" s="43" t="str">
        <f>IFERROR(VLOOKUP(D662,'Daftar Akun'!A$6:$B$103,2,FALSE),"")</f>
        <v>Beban Utilitas</v>
      </c>
      <c r="F662" s="122">
        <v>175000.0</v>
      </c>
      <c r="G662" s="129"/>
      <c r="H662" s="34"/>
      <c r="I662" s="68">
        <f t="shared" si="1"/>
        <v>2</v>
      </c>
      <c r="J662" s="68" t="str">
        <f t="shared" si="2"/>
        <v>6103-2</v>
      </c>
      <c r="K662" s="71" t="str">
        <f>E663</f>
        <v>Bank</v>
      </c>
      <c r="L662" s="34" t="str">
        <f t="shared" si="3"/>
        <v>1102</v>
      </c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5.75" customHeight="1">
      <c r="A663" s="118">
        <v>46262.0</v>
      </c>
      <c r="B663" s="131"/>
      <c r="C663" s="120" t="s">
        <v>598</v>
      </c>
      <c r="D663" s="121" t="s">
        <v>33</v>
      </c>
      <c r="E663" s="43" t="str">
        <f>IFERROR(VLOOKUP(D663,'Daftar Akun'!A$6:$B$103,2,FALSE),"")</f>
        <v>Bank</v>
      </c>
      <c r="F663" s="129"/>
      <c r="G663" s="122">
        <v>175000.0</v>
      </c>
      <c r="H663" s="34"/>
      <c r="I663" s="68">
        <f t="shared" si="1"/>
        <v>141</v>
      </c>
      <c r="J663" s="68" t="str">
        <f t="shared" si="2"/>
        <v>1102-141</v>
      </c>
      <c r="K663" s="71" t="str">
        <f>E662</f>
        <v>Beban Utilitas</v>
      </c>
      <c r="L663" s="34" t="str">
        <f t="shared" si="3"/>
        <v>6103</v>
      </c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5.75" customHeight="1">
      <c r="A664" s="118">
        <v>46262.0</v>
      </c>
      <c r="B664" s="131"/>
      <c r="C664" s="120" t="s">
        <v>599</v>
      </c>
      <c r="D664" s="121" t="s">
        <v>67</v>
      </c>
      <c r="E664" s="43" t="str">
        <f>IFERROR(VLOOKUP(D664,'Daftar Akun'!A$6:$B$103,2,FALSE),"")</f>
        <v>Hutang Dagang</v>
      </c>
      <c r="F664" s="122">
        <v>655000.0</v>
      </c>
      <c r="G664" s="129"/>
      <c r="H664" s="34"/>
      <c r="I664" s="68">
        <f t="shared" si="1"/>
        <v>24</v>
      </c>
      <c r="J664" s="68" t="str">
        <f t="shared" si="2"/>
        <v>2101-24</v>
      </c>
      <c r="K664" s="71" t="str">
        <f>E665</f>
        <v>Bank</v>
      </c>
      <c r="L664" s="34" t="str">
        <f t="shared" si="3"/>
        <v>1102</v>
      </c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5.75" customHeight="1">
      <c r="A665" s="118">
        <v>46262.0</v>
      </c>
      <c r="B665" s="131"/>
      <c r="C665" s="120" t="s">
        <v>599</v>
      </c>
      <c r="D665" s="121" t="s">
        <v>33</v>
      </c>
      <c r="E665" s="43" t="str">
        <f>IFERROR(VLOOKUP(D665,'Daftar Akun'!A$6:$B$103,2,FALSE),"")</f>
        <v>Bank</v>
      </c>
      <c r="F665" s="129"/>
      <c r="G665" s="122">
        <v>655000.0</v>
      </c>
      <c r="H665" s="34"/>
      <c r="I665" s="68">
        <f t="shared" si="1"/>
        <v>142</v>
      </c>
      <c r="J665" s="68" t="str">
        <f t="shared" si="2"/>
        <v>1102-142</v>
      </c>
      <c r="K665" s="71" t="str">
        <f>E664</f>
        <v>Hutang Dagang</v>
      </c>
      <c r="L665" s="34" t="str">
        <f t="shared" si="3"/>
        <v>2101</v>
      </c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5.75" customHeight="1">
      <c r="A666" s="118">
        <v>46262.0</v>
      </c>
      <c r="B666" s="131"/>
      <c r="C666" s="120" t="s">
        <v>324</v>
      </c>
      <c r="D666" s="121" t="s">
        <v>93</v>
      </c>
      <c r="E666" s="43" t="str">
        <f>IFERROR(VLOOKUP(D666,'Daftar Akun'!A$6:$B$103,2,FALSE),"")</f>
        <v>Pembelian Bunga</v>
      </c>
      <c r="F666" s="122">
        <v>405000.0</v>
      </c>
      <c r="G666" s="129"/>
      <c r="H666" s="34"/>
      <c r="I666" s="68">
        <f t="shared" si="1"/>
        <v>109</v>
      </c>
      <c r="J666" s="68" t="str">
        <f t="shared" si="2"/>
        <v>5101-109</v>
      </c>
      <c r="K666" s="71" t="str">
        <f>E667</f>
        <v>Bank</v>
      </c>
      <c r="L666" s="34" t="str">
        <f t="shared" si="3"/>
        <v>1102</v>
      </c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5.75" customHeight="1">
      <c r="A667" s="118">
        <v>46262.0</v>
      </c>
      <c r="B667" s="131"/>
      <c r="C667" s="120" t="s">
        <v>324</v>
      </c>
      <c r="D667" s="121" t="s">
        <v>33</v>
      </c>
      <c r="E667" s="43" t="str">
        <f>IFERROR(VLOOKUP(D667,'Daftar Akun'!A$6:$B$103,2,FALSE),"")</f>
        <v>Bank</v>
      </c>
      <c r="F667" s="129"/>
      <c r="G667" s="122">
        <v>405000.0</v>
      </c>
      <c r="H667" s="34"/>
      <c r="I667" s="68">
        <f t="shared" si="1"/>
        <v>143</v>
      </c>
      <c r="J667" s="68" t="str">
        <f t="shared" si="2"/>
        <v>1102-143</v>
      </c>
      <c r="K667" s="71" t="str">
        <f>E666</f>
        <v>Pembelian Bunga</v>
      </c>
      <c r="L667" s="34" t="str">
        <f t="shared" si="3"/>
        <v>5101</v>
      </c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5.75" customHeight="1">
      <c r="A668" s="118">
        <v>46262.0</v>
      </c>
      <c r="B668" s="131"/>
      <c r="C668" s="120" t="s">
        <v>600</v>
      </c>
      <c r="D668" s="121" t="s">
        <v>121</v>
      </c>
      <c r="E668" s="43" t="str">
        <f>IFERROR(VLOOKUP(D668,'Daftar Akun'!A$6:$B$103,2,FALSE),"")</f>
        <v>Beban Lain-Lain</v>
      </c>
      <c r="F668" s="122">
        <v>5000.0</v>
      </c>
      <c r="G668" s="129"/>
      <c r="H668" s="34"/>
      <c r="I668" s="68">
        <f t="shared" si="1"/>
        <v>22</v>
      </c>
      <c r="J668" s="68" t="str">
        <f t="shared" si="2"/>
        <v>6108-22</v>
      </c>
      <c r="K668" s="71" t="str">
        <f>E669</f>
        <v>Bank</v>
      </c>
      <c r="L668" s="34" t="str">
        <f t="shared" si="3"/>
        <v>1102</v>
      </c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5.75" customHeight="1">
      <c r="A669" s="118">
        <v>46262.0</v>
      </c>
      <c r="B669" s="131"/>
      <c r="C669" s="120" t="s">
        <v>600</v>
      </c>
      <c r="D669" s="121" t="s">
        <v>33</v>
      </c>
      <c r="E669" s="43" t="str">
        <f>IFERROR(VLOOKUP(D669,'Daftar Akun'!A$6:$B$103,2,FALSE),"")</f>
        <v>Bank</v>
      </c>
      <c r="F669" s="129"/>
      <c r="G669" s="122">
        <v>5000.0</v>
      </c>
      <c r="H669" s="34"/>
      <c r="I669" s="68">
        <f t="shared" si="1"/>
        <v>144</v>
      </c>
      <c r="J669" s="68" t="str">
        <f t="shared" si="2"/>
        <v>1102-144</v>
      </c>
      <c r="K669" s="71" t="str">
        <f>E668</f>
        <v>Beban Lain-Lain</v>
      </c>
      <c r="L669" s="34" t="str">
        <f t="shared" si="3"/>
        <v>6108</v>
      </c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5.75" customHeight="1">
      <c r="A670" s="118">
        <v>46262.0</v>
      </c>
      <c r="B670" s="131"/>
      <c r="C670" s="120" t="s">
        <v>601</v>
      </c>
      <c r="D670" s="121" t="s">
        <v>60</v>
      </c>
      <c r="E670" s="43" t="str">
        <f>IFERROR(VLOOKUP(D670,'Daftar Akun'!A$6:$B$103,2,FALSE),"")</f>
        <v>Uang Muka Pembelian Petani</v>
      </c>
      <c r="F670" s="122">
        <v>2200000.0</v>
      </c>
      <c r="G670" s="129"/>
      <c r="H670" s="34"/>
      <c r="I670" s="68">
        <f t="shared" si="1"/>
        <v>4</v>
      </c>
      <c r="J670" s="68" t="str">
        <f t="shared" si="2"/>
        <v>1110-4</v>
      </c>
      <c r="K670" s="71" t="str">
        <f>E671</f>
        <v>Bank</v>
      </c>
      <c r="L670" s="34" t="str">
        <f t="shared" si="3"/>
        <v>1102</v>
      </c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5.75" customHeight="1">
      <c r="A671" s="118">
        <v>46262.0</v>
      </c>
      <c r="B671" s="131"/>
      <c r="C671" s="120" t="s">
        <v>601</v>
      </c>
      <c r="D671" s="121" t="s">
        <v>33</v>
      </c>
      <c r="E671" s="43" t="str">
        <f>IFERROR(VLOOKUP(D671,'Daftar Akun'!A$6:$B$103,2,FALSE),"")</f>
        <v>Bank</v>
      </c>
      <c r="F671" s="129"/>
      <c r="G671" s="122">
        <v>2200000.0</v>
      </c>
      <c r="H671" s="34"/>
      <c r="I671" s="68">
        <f t="shared" si="1"/>
        <v>145</v>
      </c>
      <c r="J671" s="68" t="str">
        <f t="shared" si="2"/>
        <v>1102-145</v>
      </c>
      <c r="K671" s="71" t="str">
        <f>E670</f>
        <v>Uang Muka Pembelian Petani</v>
      </c>
      <c r="L671" s="34" t="str">
        <f t="shared" si="3"/>
        <v>1110</v>
      </c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5.75" customHeight="1">
      <c r="A672" s="118">
        <v>46262.0</v>
      </c>
      <c r="B672" s="119" t="s">
        <v>602</v>
      </c>
      <c r="C672" s="120" t="s">
        <v>603</v>
      </c>
      <c r="D672" s="121" t="s">
        <v>18</v>
      </c>
      <c r="E672" s="43" t="str">
        <f>IFERROR(VLOOKUP(D672,'Daftar Akun'!A$6:$B$103,2,FALSE),"")</f>
        <v>Kas</v>
      </c>
      <c r="F672" s="122">
        <v>219000.0</v>
      </c>
      <c r="G672" s="129"/>
      <c r="H672" s="34"/>
      <c r="I672" s="68">
        <f t="shared" si="1"/>
        <v>117</v>
      </c>
      <c r="J672" s="68" t="str">
        <f t="shared" si="2"/>
        <v>1101-117</v>
      </c>
      <c r="K672" s="71" t="str">
        <f>E673</f>
        <v>Penjualan</v>
      </c>
      <c r="L672" s="34" t="str">
        <f t="shared" si="3"/>
        <v>4101</v>
      </c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5.75" customHeight="1">
      <c r="A673" s="118">
        <v>46262.0</v>
      </c>
      <c r="B673" s="119" t="s">
        <v>602</v>
      </c>
      <c r="C673" s="120" t="s">
        <v>603</v>
      </c>
      <c r="D673" s="121" t="s">
        <v>80</v>
      </c>
      <c r="E673" s="43" t="str">
        <f>IFERROR(VLOOKUP(D673,'Daftar Akun'!A$6:$B$103,2,FALSE),"")</f>
        <v>Penjualan</v>
      </c>
      <c r="F673" s="129"/>
      <c r="G673" s="122">
        <v>219000.0</v>
      </c>
      <c r="H673" s="34"/>
      <c r="I673" s="68">
        <f t="shared" si="1"/>
        <v>76</v>
      </c>
      <c r="J673" s="68" t="str">
        <f t="shared" si="2"/>
        <v>4101-76</v>
      </c>
      <c r="K673" s="71" t="str">
        <f>E672</f>
        <v>Kas</v>
      </c>
      <c r="L673" s="34" t="str">
        <f t="shared" si="3"/>
        <v>1101</v>
      </c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5.75" customHeight="1">
      <c r="A674" s="118">
        <v>46262.0</v>
      </c>
      <c r="B674" s="119" t="s">
        <v>604</v>
      </c>
      <c r="C674" s="120" t="s">
        <v>266</v>
      </c>
      <c r="D674" s="121" t="s">
        <v>36</v>
      </c>
      <c r="E674" s="43" t="str">
        <f>IFERROR(VLOOKUP(D674,'Daftar Akun'!A$6:$B$103,2,FALSE),"")</f>
        <v>Piutang Dagang</v>
      </c>
      <c r="F674" s="122">
        <v>737500.0</v>
      </c>
      <c r="G674" s="129"/>
      <c r="H674" s="34"/>
      <c r="I674" s="68">
        <f t="shared" si="1"/>
        <v>84</v>
      </c>
      <c r="J674" s="68" t="str">
        <f t="shared" si="2"/>
        <v>1103-84</v>
      </c>
      <c r="K674" s="71" t="str">
        <f>E675</f>
        <v>Penjualan</v>
      </c>
      <c r="L674" s="34" t="str">
        <f t="shared" si="3"/>
        <v>4101</v>
      </c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5.75" customHeight="1">
      <c r="A675" s="118">
        <v>46262.0</v>
      </c>
      <c r="B675" s="119" t="s">
        <v>604</v>
      </c>
      <c r="C675" s="120" t="s">
        <v>266</v>
      </c>
      <c r="D675" s="121" t="s">
        <v>80</v>
      </c>
      <c r="E675" s="43" t="str">
        <f>IFERROR(VLOOKUP(D675,'Daftar Akun'!A$6:$B$103,2,FALSE),"")</f>
        <v>Penjualan</v>
      </c>
      <c r="F675" s="129"/>
      <c r="G675" s="122">
        <v>737500.0</v>
      </c>
      <c r="H675" s="34"/>
      <c r="I675" s="68">
        <f t="shared" si="1"/>
        <v>77</v>
      </c>
      <c r="J675" s="68" t="str">
        <f t="shared" si="2"/>
        <v>4101-77</v>
      </c>
      <c r="K675" s="71" t="str">
        <f>E674</f>
        <v>Piutang Dagang</v>
      </c>
      <c r="L675" s="34" t="str">
        <f t="shared" si="3"/>
        <v>1103</v>
      </c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5.75" customHeight="1">
      <c r="A676" s="118">
        <v>46263.0</v>
      </c>
      <c r="B676" s="131"/>
      <c r="C676" s="120" t="s">
        <v>605</v>
      </c>
      <c r="D676" s="121" t="s">
        <v>51</v>
      </c>
      <c r="E676" s="43" t="str">
        <f>IFERROR(VLOOKUP(D676,'Daftar Akun'!A$6:$B$103,2,FALSE),"")</f>
        <v>Piutang Ongkir</v>
      </c>
      <c r="F676" s="122">
        <v>882199.0</v>
      </c>
      <c r="G676" s="129"/>
      <c r="H676" s="34"/>
      <c r="I676" s="68">
        <f t="shared" si="1"/>
        <v>51</v>
      </c>
      <c r="J676" s="68" t="str">
        <f t="shared" si="2"/>
        <v>1107-51</v>
      </c>
      <c r="K676" s="71" t="str">
        <f>E677</f>
        <v>Bank</v>
      </c>
      <c r="L676" s="34" t="str">
        <f t="shared" si="3"/>
        <v>1102</v>
      </c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5.75" customHeight="1">
      <c r="A677" s="118">
        <v>46263.0</v>
      </c>
      <c r="B677" s="131"/>
      <c r="C677" s="120" t="s">
        <v>605</v>
      </c>
      <c r="D677" s="121" t="s">
        <v>33</v>
      </c>
      <c r="E677" s="43" t="str">
        <f>IFERROR(VLOOKUP(D677,'Daftar Akun'!A$6:$B$103,2,FALSE),"")</f>
        <v>Bank</v>
      </c>
      <c r="F677" s="129"/>
      <c r="G677" s="122">
        <v>882199.0</v>
      </c>
      <c r="H677" s="34"/>
      <c r="I677" s="68">
        <f t="shared" si="1"/>
        <v>146</v>
      </c>
      <c r="J677" s="68" t="str">
        <f t="shared" si="2"/>
        <v>1102-146</v>
      </c>
      <c r="K677" s="71" t="str">
        <f>E676</f>
        <v>Piutang Ongkir</v>
      </c>
      <c r="L677" s="34" t="str">
        <f t="shared" si="3"/>
        <v>1107</v>
      </c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5.75" customHeight="1">
      <c r="A678" s="118">
        <v>46263.0</v>
      </c>
      <c r="B678" s="131"/>
      <c r="C678" s="120" t="s">
        <v>606</v>
      </c>
      <c r="D678" s="121" t="s">
        <v>33</v>
      </c>
      <c r="E678" s="43" t="str">
        <f>IFERROR(VLOOKUP(D678,'Daftar Akun'!A$6:$B$103,2,FALSE),"")</f>
        <v>Bank</v>
      </c>
      <c r="F678" s="122">
        <v>3014300.0</v>
      </c>
      <c r="G678" s="129"/>
      <c r="H678" s="34"/>
      <c r="I678" s="68">
        <f t="shared" si="1"/>
        <v>147</v>
      </c>
      <c r="J678" s="68" t="str">
        <f t="shared" si="2"/>
        <v>1102-147</v>
      </c>
      <c r="K678" s="71" t="str">
        <f>E679</f>
        <v>Piutang Ongkir</v>
      </c>
      <c r="L678" s="34" t="str">
        <f t="shared" si="3"/>
        <v>1107</v>
      </c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5.75" customHeight="1">
      <c r="A679" s="118">
        <v>46263.0</v>
      </c>
      <c r="B679" s="131"/>
      <c r="C679" s="120" t="s">
        <v>606</v>
      </c>
      <c r="D679" s="121" t="s">
        <v>51</v>
      </c>
      <c r="E679" s="43" t="str">
        <f>IFERROR(VLOOKUP(D679,'Daftar Akun'!A$6:$B$103,2,FALSE),"")</f>
        <v>Piutang Ongkir</v>
      </c>
      <c r="F679" s="129"/>
      <c r="G679" s="122">
        <v>3014300.0</v>
      </c>
      <c r="H679" s="34"/>
      <c r="I679" s="68">
        <f t="shared" si="1"/>
        <v>52</v>
      </c>
      <c r="J679" s="68" t="str">
        <f t="shared" si="2"/>
        <v>1107-52</v>
      </c>
      <c r="K679" s="71" t="str">
        <f>E678</f>
        <v>Bank</v>
      </c>
      <c r="L679" s="34" t="str">
        <f t="shared" si="3"/>
        <v>1102</v>
      </c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5.75" customHeight="1">
      <c r="A680" s="118">
        <v>46263.0</v>
      </c>
      <c r="B680" s="131"/>
      <c r="C680" s="120" t="s">
        <v>607</v>
      </c>
      <c r="D680" s="121" t="s">
        <v>33</v>
      </c>
      <c r="E680" s="43" t="str">
        <f>IFERROR(VLOOKUP(D680,'Daftar Akun'!A$6:$B$103,2,FALSE),"")</f>
        <v>Bank</v>
      </c>
      <c r="F680" s="122">
        <v>737500.0</v>
      </c>
      <c r="G680" s="129"/>
      <c r="H680" s="34"/>
      <c r="I680" s="68">
        <f t="shared" si="1"/>
        <v>148</v>
      </c>
      <c r="J680" s="68" t="str">
        <f t="shared" si="2"/>
        <v>1102-148</v>
      </c>
      <c r="K680" s="71" t="str">
        <f>E681</f>
        <v>Piutang Dagang</v>
      </c>
      <c r="L680" s="34" t="str">
        <f t="shared" si="3"/>
        <v>1103</v>
      </c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5.75" customHeight="1">
      <c r="A681" s="118">
        <v>46263.0</v>
      </c>
      <c r="B681" s="131"/>
      <c r="C681" s="120" t="s">
        <v>607</v>
      </c>
      <c r="D681" s="121" t="s">
        <v>36</v>
      </c>
      <c r="E681" s="43" t="str">
        <f>IFERROR(VLOOKUP(D681,'Daftar Akun'!A$6:$B$103,2,FALSE),"")</f>
        <v>Piutang Dagang</v>
      </c>
      <c r="F681" s="129"/>
      <c r="G681" s="122">
        <v>737500.0</v>
      </c>
      <c r="H681" s="34"/>
      <c r="I681" s="68">
        <f t="shared" si="1"/>
        <v>85</v>
      </c>
      <c r="J681" s="68" t="str">
        <f t="shared" si="2"/>
        <v>1103-85</v>
      </c>
      <c r="K681" s="71" t="str">
        <f>E680</f>
        <v>Bank</v>
      </c>
      <c r="L681" s="34" t="str">
        <f t="shared" si="3"/>
        <v>1102</v>
      </c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5.75" customHeight="1">
      <c r="A682" s="118">
        <v>46263.0</v>
      </c>
      <c r="B682" s="131"/>
      <c r="C682" s="120" t="s">
        <v>608</v>
      </c>
      <c r="D682" s="121" t="s">
        <v>121</v>
      </c>
      <c r="E682" s="43" t="str">
        <f>IFERROR(VLOOKUP(D682,'Daftar Akun'!A$6:$B$103,2,FALSE),"")</f>
        <v>Beban Lain-Lain</v>
      </c>
      <c r="F682" s="122">
        <v>35000.0</v>
      </c>
      <c r="G682" s="129"/>
      <c r="H682" s="34"/>
      <c r="I682" s="68">
        <f t="shared" si="1"/>
        <v>23</v>
      </c>
      <c r="J682" s="68" t="str">
        <f t="shared" si="2"/>
        <v>6108-23</v>
      </c>
      <c r="K682" s="71" t="str">
        <f>E683</f>
        <v>Bank</v>
      </c>
      <c r="L682" s="34" t="str">
        <f t="shared" si="3"/>
        <v>1102</v>
      </c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5.75" customHeight="1">
      <c r="A683" s="118">
        <v>46263.0</v>
      </c>
      <c r="B683" s="131"/>
      <c r="C683" s="120" t="s">
        <v>608</v>
      </c>
      <c r="D683" s="121" t="s">
        <v>33</v>
      </c>
      <c r="E683" s="43" t="str">
        <f>IFERROR(VLOOKUP(D683,'Daftar Akun'!A$6:$B$103,2,FALSE),"")</f>
        <v>Bank</v>
      </c>
      <c r="F683" s="129"/>
      <c r="G683" s="122">
        <v>35000.0</v>
      </c>
      <c r="H683" s="34"/>
      <c r="I683" s="68">
        <f t="shared" si="1"/>
        <v>149</v>
      </c>
      <c r="J683" s="68" t="str">
        <f t="shared" si="2"/>
        <v>1102-149</v>
      </c>
      <c r="K683" s="71" t="str">
        <f>E682</f>
        <v>Beban Lain-Lain</v>
      </c>
      <c r="L683" s="34" t="str">
        <f t="shared" si="3"/>
        <v>6108</v>
      </c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5.75" customHeight="1">
      <c r="A684" s="118">
        <v>46263.0</v>
      </c>
      <c r="B684" s="131"/>
      <c r="C684" s="120" t="s">
        <v>609</v>
      </c>
      <c r="D684" s="121" t="s">
        <v>51</v>
      </c>
      <c r="E684" s="43" t="str">
        <f>IFERROR(VLOOKUP(D684,'Daftar Akun'!A$6:$B$103,2,FALSE),"")</f>
        <v>Piutang Ongkir</v>
      </c>
      <c r="F684" s="122">
        <v>70000.0</v>
      </c>
      <c r="G684" s="129"/>
      <c r="H684" s="34"/>
      <c r="I684" s="68">
        <f t="shared" si="1"/>
        <v>53</v>
      </c>
      <c r="J684" s="68" t="str">
        <f t="shared" si="2"/>
        <v>1107-53</v>
      </c>
      <c r="K684" s="71" t="str">
        <f>E685</f>
        <v>Kas</v>
      </c>
      <c r="L684" s="34" t="str">
        <f t="shared" si="3"/>
        <v>1101</v>
      </c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5.75" customHeight="1">
      <c r="A685" s="118">
        <v>46263.0</v>
      </c>
      <c r="B685" s="131"/>
      <c r="C685" s="120" t="s">
        <v>609</v>
      </c>
      <c r="D685" s="121" t="s">
        <v>18</v>
      </c>
      <c r="E685" s="43" t="str">
        <f>IFERROR(VLOOKUP(D685,'Daftar Akun'!A$6:$B$103,2,FALSE),"")</f>
        <v>Kas</v>
      </c>
      <c r="F685" s="129"/>
      <c r="G685" s="122">
        <v>70000.0</v>
      </c>
      <c r="H685" s="34"/>
      <c r="I685" s="68">
        <f t="shared" si="1"/>
        <v>118</v>
      </c>
      <c r="J685" s="68" t="str">
        <f t="shared" si="2"/>
        <v>1101-118</v>
      </c>
      <c r="K685" s="71" t="str">
        <f>E684</f>
        <v>Piutang Ongkir</v>
      </c>
      <c r="L685" s="34" t="str">
        <f t="shared" si="3"/>
        <v>1107</v>
      </c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5.75" customHeight="1">
      <c r="A686" s="118">
        <v>46263.0</v>
      </c>
      <c r="B686" s="131"/>
      <c r="C686" s="120" t="s">
        <v>249</v>
      </c>
      <c r="D686" s="121" t="s">
        <v>93</v>
      </c>
      <c r="E686" s="43" t="str">
        <f>IFERROR(VLOOKUP(D686,'Daftar Akun'!A$6:$B$103,2,FALSE),"")</f>
        <v>Pembelian Bunga</v>
      </c>
      <c r="F686" s="122">
        <v>180000.0</v>
      </c>
      <c r="G686" s="129"/>
      <c r="H686" s="34"/>
      <c r="I686" s="68">
        <f t="shared" si="1"/>
        <v>110</v>
      </c>
      <c r="J686" s="68" t="str">
        <f t="shared" si="2"/>
        <v>5101-110</v>
      </c>
      <c r="K686" s="71" t="str">
        <f>E687</f>
        <v>Kas</v>
      </c>
      <c r="L686" s="34" t="str">
        <f t="shared" si="3"/>
        <v>1101</v>
      </c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5.75" customHeight="1">
      <c r="A687" s="118">
        <v>46263.0</v>
      </c>
      <c r="B687" s="131"/>
      <c r="C687" s="120" t="s">
        <v>249</v>
      </c>
      <c r="D687" s="121" t="s">
        <v>18</v>
      </c>
      <c r="E687" s="43" t="str">
        <f>IFERROR(VLOOKUP(D687,'Daftar Akun'!A$6:$B$103,2,FALSE),"")</f>
        <v>Kas</v>
      </c>
      <c r="F687" s="129"/>
      <c r="G687" s="122">
        <v>180000.0</v>
      </c>
      <c r="H687" s="34"/>
      <c r="I687" s="68">
        <f t="shared" si="1"/>
        <v>119</v>
      </c>
      <c r="J687" s="68" t="str">
        <f t="shared" si="2"/>
        <v>1101-119</v>
      </c>
      <c r="K687" s="71" t="str">
        <f>E686</f>
        <v>Pembelian Bunga</v>
      </c>
      <c r="L687" s="34" t="str">
        <f t="shared" si="3"/>
        <v>5101</v>
      </c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5.75" customHeight="1">
      <c r="A688" s="118">
        <v>46263.0</v>
      </c>
      <c r="B688" s="131"/>
      <c r="C688" s="120" t="s">
        <v>610</v>
      </c>
      <c r="D688" s="121" t="s">
        <v>105</v>
      </c>
      <c r="E688" s="43" t="str">
        <f>IFERROR(VLOOKUP(D688,'Daftar Akun'!A$6:$B$103,2,FALSE),"")</f>
        <v>Beban Gaji</v>
      </c>
      <c r="F688" s="122">
        <v>150000.0</v>
      </c>
      <c r="G688" s="129"/>
      <c r="H688" s="34"/>
      <c r="I688" s="68">
        <f t="shared" si="1"/>
        <v>8</v>
      </c>
      <c r="J688" s="68" t="str">
        <f t="shared" si="2"/>
        <v>6101-8</v>
      </c>
      <c r="K688" s="71" t="str">
        <f>E689</f>
        <v>Kas</v>
      </c>
      <c r="L688" s="34" t="str">
        <f t="shared" si="3"/>
        <v>1101</v>
      </c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5.75" customHeight="1">
      <c r="A689" s="118">
        <v>46263.0</v>
      </c>
      <c r="B689" s="131"/>
      <c r="C689" s="120" t="s">
        <v>610</v>
      </c>
      <c r="D689" s="121" t="s">
        <v>18</v>
      </c>
      <c r="E689" s="43" t="str">
        <f>IFERROR(VLOOKUP(D689,'Daftar Akun'!A$6:$B$103,2,FALSE),"")</f>
        <v>Kas</v>
      </c>
      <c r="F689" s="129"/>
      <c r="G689" s="122">
        <v>150000.0</v>
      </c>
      <c r="H689" s="34"/>
      <c r="I689" s="68">
        <f t="shared" si="1"/>
        <v>120</v>
      </c>
      <c r="J689" s="68" t="str">
        <f t="shared" si="2"/>
        <v>1101-120</v>
      </c>
      <c r="K689" s="71" t="str">
        <f>E688</f>
        <v>Beban Gaji</v>
      </c>
      <c r="L689" s="34" t="str">
        <f t="shared" si="3"/>
        <v>6101</v>
      </c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5.75" customHeight="1">
      <c r="A690" s="118">
        <v>46263.0</v>
      </c>
      <c r="B690" s="131"/>
      <c r="C690" s="120" t="s">
        <v>611</v>
      </c>
      <c r="D690" s="121" t="s">
        <v>105</v>
      </c>
      <c r="E690" s="43" t="str">
        <f>IFERROR(VLOOKUP(D690,'Daftar Akun'!A$6:$B$103,2,FALSE),"")</f>
        <v>Beban Gaji</v>
      </c>
      <c r="F690" s="122">
        <v>850000.0</v>
      </c>
      <c r="G690" s="129"/>
      <c r="H690" s="34"/>
      <c r="I690" s="68">
        <f t="shared" si="1"/>
        <v>9</v>
      </c>
      <c r="J690" s="68" t="str">
        <f t="shared" si="2"/>
        <v>6101-9</v>
      </c>
      <c r="K690" s="71" t="str">
        <f>E691</f>
        <v>Gaji Bayar di Muka</v>
      </c>
      <c r="L690" s="34" t="str">
        <f t="shared" si="3"/>
        <v>1111</v>
      </c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5.75" customHeight="1">
      <c r="A691" s="118">
        <v>46263.0</v>
      </c>
      <c r="B691" s="131"/>
      <c r="C691" s="120" t="s">
        <v>611</v>
      </c>
      <c r="D691" s="121" t="s">
        <v>63</v>
      </c>
      <c r="E691" s="43" t="str">
        <f>IFERROR(VLOOKUP(D691,'Daftar Akun'!A$6:$B$103,2,FALSE),"")</f>
        <v>Gaji Bayar di Muka</v>
      </c>
      <c r="F691" s="129"/>
      <c r="G691" s="122">
        <v>850000.0</v>
      </c>
      <c r="H691" s="34"/>
      <c r="I691" s="68">
        <f t="shared" si="1"/>
        <v>3</v>
      </c>
      <c r="J691" s="68" t="str">
        <f t="shared" si="2"/>
        <v>1111-3</v>
      </c>
      <c r="K691" s="71" t="str">
        <f>E690</f>
        <v>Beban Gaji</v>
      </c>
      <c r="L691" s="34" t="str">
        <f t="shared" si="3"/>
        <v>6101</v>
      </c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5.75" customHeight="1">
      <c r="A692" s="118">
        <v>46263.0</v>
      </c>
      <c r="B692" s="131"/>
      <c r="C692" s="120" t="s">
        <v>612</v>
      </c>
      <c r="D692" s="121" t="s">
        <v>126</v>
      </c>
      <c r="E692" s="43" t="str">
        <f>IFERROR(VLOOKUP(D692,'Daftar Akun'!A$6:$B$103,2,FALSE),"")</f>
        <v>Beban Pesangon</v>
      </c>
      <c r="F692" s="122">
        <v>1000000.0</v>
      </c>
      <c r="G692" s="129"/>
      <c r="H692" s="34"/>
      <c r="I692" s="68">
        <f t="shared" si="1"/>
        <v>1</v>
      </c>
      <c r="J692" s="68" t="str">
        <f t="shared" si="2"/>
        <v>6110-1</v>
      </c>
      <c r="K692" s="71" t="str">
        <f>E693</f>
        <v>Kas</v>
      </c>
      <c r="L692" s="34" t="str">
        <f t="shared" si="3"/>
        <v>1101</v>
      </c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5.75" customHeight="1">
      <c r="A693" s="118">
        <v>46263.0</v>
      </c>
      <c r="B693" s="131"/>
      <c r="C693" s="120" t="s">
        <v>612</v>
      </c>
      <c r="D693" s="121" t="s">
        <v>18</v>
      </c>
      <c r="E693" s="43" t="str">
        <f>IFERROR(VLOOKUP(D693,'Daftar Akun'!A$6:$B$103,2,FALSE),"")</f>
        <v>Kas</v>
      </c>
      <c r="F693" s="129"/>
      <c r="G693" s="122">
        <v>1000000.0</v>
      </c>
      <c r="H693" s="34"/>
      <c r="I693" s="68">
        <f t="shared" si="1"/>
        <v>121</v>
      </c>
      <c r="J693" s="68" t="str">
        <f t="shared" si="2"/>
        <v>1101-121</v>
      </c>
      <c r="K693" s="71" t="str">
        <f>E692</f>
        <v>Beban Pesangon</v>
      </c>
      <c r="L693" s="34" t="str">
        <f t="shared" si="3"/>
        <v>6110</v>
      </c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5.75" customHeight="1">
      <c r="A694" s="118">
        <v>46263.0</v>
      </c>
      <c r="B694" s="119" t="s">
        <v>613</v>
      </c>
      <c r="C694" s="120" t="s">
        <v>242</v>
      </c>
      <c r="D694" s="121" t="s">
        <v>36</v>
      </c>
      <c r="E694" s="43" t="str">
        <f>IFERROR(VLOOKUP(D694,'Daftar Akun'!A$6:$B$103,2,FALSE),"")</f>
        <v>Piutang Dagang</v>
      </c>
      <c r="F694" s="122">
        <v>979125.0</v>
      </c>
      <c r="G694" s="129"/>
      <c r="H694" s="34"/>
      <c r="I694" s="68">
        <f t="shared" si="1"/>
        <v>86</v>
      </c>
      <c r="J694" s="68" t="str">
        <f t="shared" si="2"/>
        <v>1103-86</v>
      </c>
      <c r="K694" s="71" t="str">
        <f>E695</f>
        <v>Penjualan</v>
      </c>
      <c r="L694" s="34" t="str">
        <f t="shared" si="3"/>
        <v>4101</v>
      </c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5.75" customHeight="1">
      <c r="A695" s="118">
        <v>46263.0</v>
      </c>
      <c r="B695" s="119" t="s">
        <v>613</v>
      </c>
      <c r="C695" s="120" t="s">
        <v>242</v>
      </c>
      <c r="D695" s="121" t="s">
        <v>80</v>
      </c>
      <c r="E695" s="43" t="str">
        <f>IFERROR(VLOOKUP(D695,'Daftar Akun'!A$6:$B$103,2,FALSE),"")</f>
        <v>Penjualan</v>
      </c>
      <c r="F695" s="129"/>
      <c r="G695" s="122">
        <v>979125.0</v>
      </c>
      <c r="H695" s="34"/>
      <c r="I695" s="68">
        <f t="shared" si="1"/>
        <v>78</v>
      </c>
      <c r="J695" s="68" t="str">
        <f t="shared" si="2"/>
        <v>4101-78</v>
      </c>
      <c r="K695" s="71" t="str">
        <f>E694</f>
        <v>Piutang Dagang</v>
      </c>
      <c r="L695" s="34" t="str">
        <f t="shared" si="3"/>
        <v>1103</v>
      </c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5.75" customHeight="1">
      <c r="A696" s="118">
        <v>46263.0</v>
      </c>
      <c r="B696" s="119" t="s">
        <v>614</v>
      </c>
      <c r="C696" s="120" t="s">
        <v>537</v>
      </c>
      <c r="D696" s="121" t="s">
        <v>36</v>
      </c>
      <c r="E696" s="43" t="str">
        <f>IFERROR(VLOOKUP(D696,'Daftar Akun'!A$6:$B$103,2,FALSE),"")</f>
        <v>Piutang Dagang</v>
      </c>
      <c r="F696" s="122">
        <v>687500.0</v>
      </c>
      <c r="G696" s="129"/>
      <c r="H696" s="34"/>
      <c r="I696" s="68">
        <f t="shared" si="1"/>
        <v>87</v>
      </c>
      <c r="J696" s="68" t="str">
        <f t="shared" si="2"/>
        <v>1103-87</v>
      </c>
      <c r="K696" s="71" t="str">
        <f>E697</f>
        <v>Penjualan</v>
      </c>
      <c r="L696" s="34" t="str">
        <f t="shared" si="3"/>
        <v>4101</v>
      </c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5.75" customHeight="1">
      <c r="A697" s="118">
        <v>46263.0</v>
      </c>
      <c r="B697" s="119" t="s">
        <v>614</v>
      </c>
      <c r="C697" s="120" t="s">
        <v>537</v>
      </c>
      <c r="D697" s="121" t="s">
        <v>80</v>
      </c>
      <c r="E697" s="43" t="str">
        <f>IFERROR(VLOOKUP(D697,'Daftar Akun'!A$6:$B$103,2,FALSE),"")</f>
        <v>Penjualan</v>
      </c>
      <c r="F697" s="129"/>
      <c r="G697" s="122">
        <v>687500.0</v>
      </c>
      <c r="H697" s="34"/>
      <c r="I697" s="68">
        <f t="shared" si="1"/>
        <v>79</v>
      </c>
      <c r="J697" s="68" t="str">
        <f t="shared" si="2"/>
        <v>4101-79</v>
      </c>
      <c r="K697" s="71" t="str">
        <f>E696</f>
        <v>Piutang Dagang</v>
      </c>
      <c r="L697" s="34" t="str">
        <f t="shared" si="3"/>
        <v>1103</v>
      </c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5.75" customHeight="1">
      <c r="A698" s="118">
        <v>46263.0</v>
      </c>
      <c r="B698" s="131"/>
      <c r="C698" s="120" t="s">
        <v>615</v>
      </c>
      <c r="D698" s="121" t="s">
        <v>33</v>
      </c>
      <c r="E698" s="43" t="str">
        <f>IFERROR(VLOOKUP(D698,'Daftar Akun'!A$6:$B$103,2,FALSE),"")</f>
        <v>Bank</v>
      </c>
      <c r="F698" s="122">
        <v>1666625.0</v>
      </c>
      <c r="G698" s="129"/>
      <c r="H698" s="34"/>
      <c r="I698" s="68">
        <f t="shared" si="1"/>
        <v>150</v>
      </c>
      <c r="J698" s="68" t="str">
        <f t="shared" si="2"/>
        <v>1102-150</v>
      </c>
      <c r="K698" s="71" t="str">
        <f>E699</f>
        <v>Piutang Dagang</v>
      </c>
      <c r="L698" s="34" t="str">
        <f t="shared" si="3"/>
        <v>1103</v>
      </c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5.75" customHeight="1">
      <c r="A699" s="118">
        <v>46263.0</v>
      </c>
      <c r="B699" s="131"/>
      <c r="C699" s="120" t="s">
        <v>615</v>
      </c>
      <c r="D699" s="121" t="s">
        <v>36</v>
      </c>
      <c r="E699" s="43" t="str">
        <f>IFERROR(VLOOKUP(D699,'Daftar Akun'!A$6:$B$103,2,FALSE),"")</f>
        <v>Piutang Dagang</v>
      </c>
      <c r="F699" s="129"/>
      <c r="G699" s="122">
        <v>1666625.0</v>
      </c>
      <c r="H699" s="34"/>
      <c r="I699" s="68">
        <f t="shared" si="1"/>
        <v>88</v>
      </c>
      <c r="J699" s="68" t="str">
        <f t="shared" si="2"/>
        <v>1103-88</v>
      </c>
      <c r="K699" s="71" t="str">
        <f>E698</f>
        <v>Bank</v>
      </c>
      <c r="L699" s="34" t="str">
        <f t="shared" si="3"/>
        <v>1102</v>
      </c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5.75" customHeight="1">
      <c r="A700" s="118">
        <v>46263.0</v>
      </c>
      <c r="B700" s="131"/>
      <c r="C700" s="120" t="s">
        <v>616</v>
      </c>
      <c r="D700" s="121" t="s">
        <v>51</v>
      </c>
      <c r="E700" s="43" t="str">
        <f>IFERROR(VLOOKUP(D700,'Daftar Akun'!A$6:$B$103,2,FALSE),"")</f>
        <v>Piutang Ongkir</v>
      </c>
      <c r="F700" s="122">
        <v>1086320.0</v>
      </c>
      <c r="G700" s="129"/>
      <c r="H700" s="34"/>
      <c r="I700" s="68">
        <f t="shared" si="1"/>
        <v>54</v>
      </c>
      <c r="J700" s="68" t="str">
        <f t="shared" si="2"/>
        <v>1107-54</v>
      </c>
      <c r="K700" s="71" t="str">
        <f>E701</f>
        <v>Bank</v>
      </c>
      <c r="L700" s="34" t="str">
        <f t="shared" si="3"/>
        <v>1102</v>
      </c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5.75" customHeight="1">
      <c r="A701" s="118">
        <v>46263.0</v>
      </c>
      <c r="B701" s="131"/>
      <c r="C701" s="120" t="s">
        <v>616</v>
      </c>
      <c r="D701" s="121" t="s">
        <v>33</v>
      </c>
      <c r="E701" s="43" t="str">
        <f>IFERROR(VLOOKUP(D701,'Daftar Akun'!A$6:$B$103,2,FALSE),"")</f>
        <v>Bank</v>
      </c>
      <c r="F701" s="129"/>
      <c r="G701" s="122">
        <v>1086320.0</v>
      </c>
      <c r="H701" s="34"/>
      <c r="I701" s="68">
        <f t="shared" si="1"/>
        <v>151</v>
      </c>
      <c r="J701" s="68" t="str">
        <f t="shared" si="2"/>
        <v>1102-151</v>
      </c>
      <c r="K701" s="71" t="str">
        <f>E700</f>
        <v>Piutang Ongkir</v>
      </c>
      <c r="L701" s="34" t="str">
        <f t="shared" si="3"/>
        <v>1107</v>
      </c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5.75" customHeight="1">
      <c r="A702" s="118">
        <v>46263.0</v>
      </c>
      <c r="B702" s="131"/>
      <c r="C702" s="120" t="s">
        <v>617</v>
      </c>
      <c r="D702" s="121" t="s">
        <v>33</v>
      </c>
      <c r="E702" s="43" t="str">
        <f>IFERROR(VLOOKUP(D702,'Daftar Akun'!A$6:$B$103,2,FALSE),"")</f>
        <v>Bank</v>
      </c>
      <c r="F702" s="122">
        <v>5000.0</v>
      </c>
      <c r="G702" s="129"/>
      <c r="H702" s="34"/>
      <c r="I702" s="68">
        <f t="shared" si="1"/>
        <v>152</v>
      </c>
      <c r="J702" s="68" t="str">
        <f t="shared" si="2"/>
        <v>1102-152</v>
      </c>
      <c r="K702" s="71" t="str">
        <f>E703</f>
        <v>Pendapatan Lain-Lain</v>
      </c>
      <c r="L702" s="34" t="str">
        <f t="shared" si="3"/>
        <v>4104</v>
      </c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5.75" customHeight="1">
      <c r="A703" s="118">
        <v>46263.0</v>
      </c>
      <c r="B703" s="131"/>
      <c r="C703" s="120" t="s">
        <v>617</v>
      </c>
      <c r="D703" s="121" t="s">
        <v>91</v>
      </c>
      <c r="E703" s="43" t="str">
        <f>IFERROR(VLOOKUP(D703,'Daftar Akun'!A$6:$B$103,2,FALSE),"")</f>
        <v>Pendapatan Lain-Lain</v>
      </c>
      <c r="F703" s="129"/>
      <c r="G703" s="122">
        <v>5000.0</v>
      </c>
      <c r="H703" s="34"/>
      <c r="I703" s="68">
        <f t="shared" si="1"/>
        <v>2</v>
      </c>
      <c r="J703" s="68" t="str">
        <f t="shared" si="2"/>
        <v>4104-2</v>
      </c>
      <c r="K703" s="71" t="str">
        <f>E702</f>
        <v>Bank</v>
      </c>
      <c r="L703" s="34" t="str">
        <f t="shared" si="3"/>
        <v>1102</v>
      </c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5.75" customHeight="1">
      <c r="A704" s="118">
        <v>46263.0</v>
      </c>
      <c r="B704" s="119" t="s">
        <v>618</v>
      </c>
      <c r="C704" s="120" t="s">
        <v>314</v>
      </c>
      <c r="D704" s="121" t="s">
        <v>36</v>
      </c>
      <c r="E704" s="43" t="str">
        <f>IFERROR(VLOOKUP(D704,'Daftar Akun'!A$6:$B$103,2,FALSE),"")</f>
        <v>Piutang Dagang</v>
      </c>
      <c r="F704" s="122">
        <v>198000.0</v>
      </c>
      <c r="G704" s="129"/>
      <c r="H704" s="34"/>
      <c r="I704" s="68">
        <f t="shared" si="1"/>
        <v>89</v>
      </c>
      <c r="J704" s="68" t="str">
        <f t="shared" si="2"/>
        <v>1103-89</v>
      </c>
      <c r="K704" s="71" t="str">
        <f>E705</f>
        <v>Penjualan</v>
      </c>
      <c r="L704" s="34" t="str">
        <f t="shared" si="3"/>
        <v>4101</v>
      </c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5.75" customHeight="1">
      <c r="A705" s="118">
        <v>46263.0</v>
      </c>
      <c r="B705" s="119" t="s">
        <v>618</v>
      </c>
      <c r="C705" s="120" t="s">
        <v>314</v>
      </c>
      <c r="D705" s="121" t="s">
        <v>80</v>
      </c>
      <c r="E705" s="43" t="str">
        <f>IFERROR(VLOOKUP(D705,'Daftar Akun'!A$6:$B$103,2,FALSE),"")</f>
        <v>Penjualan</v>
      </c>
      <c r="F705" s="129"/>
      <c r="G705" s="122">
        <v>198000.0</v>
      </c>
      <c r="H705" s="34"/>
      <c r="I705" s="68">
        <f t="shared" si="1"/>
        <v>80</v>
      </c>
      <c r="J705" s="68" t="str">
        <f t="shared" si="2"/>
        <v>4101-80</v>
      </c>
      <c r="K705" s="71" t="str">
        <f>E704</f>
        <v>Piutang Dagang</v>
      </c>
      <c r="L705" s="34" t="str">
        <f t="shared" si="3"/>
        <v>1103</v>
      </c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5.75" customHeight="1">
      <c r="A706" s="118">
        <v>46263.0</v>
      </c>
      <c r="B706" s="119"/>
      <c r="C706" s="120" t="s">
        <v>619</v>
      </c>
      <c r="D706" s="121" t="s">
        <v>18</v>
      </c>
      <c r="E706" s="43" t="str">
        <f>IFERROR(VLOOKUP(D706,'Daftar Akun'!A$6:$B$103,2,FALSE),"")</f>
        <v>Kas</v>
      </c>
      <c r="F706" s="122">
        <v>50000.0</v>
      </c>
      <c r="G706" s="122"/>
      <c r="H706" s="34"/>
      <c r="I706" s="68">
        <f t="shared" si="1"/>
        <v>122</v>
      </c>
      <c r="J706" s="68" t="str">
        <f t="shared" si="2"/>
        <v>1101-122</v>
      </c>
      <c r="K706" s="71" t="str">
        <f>E707</f>
        <v>Piutang Ongkir</v>
      </c>
      <c r="L706" s="34" t="str">
        <f t="shared" si="3"/>
        <v>1107</v>
      </c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5.75" customHeight="1">
      <c r="A707" s="118">
        <v>46263.0</v>
      </c>
      <c r="B707" s="119"/>
      <c r="C707" s="120" t="s">
        <v>619</v>
      </c>
      <c r="D707" s="121" t="s">
        <v>51</v>
      </c>
      <c r="E707" s="43" t="str">
        <f>IFERROR(VLOOKUP(D707,'Daftar Akun'!A$6:$B$103,2,FALSE),"")</f>
        <v>Piutang Ongkir</v>
      </c>
      <c r="F707" s="129"/>
      <c r="G707" s="122">
        <v>50000.0</v>
      </c>
      <c r="H707" s="34"/>
      <c r="I707" s="68">
        <f t="shared" si="1"/>
        <v>55</v>
      </c>
      <c r="J707" s="68" t="str">
        <f t="shared" si="2"/>
        <v>1107-55</v>
      </c>
      <c r="K707" s="71" t="str">
        <f>E706</f>
        <v>Kas</v>
      </c>
      <c r="L707" s="34" t="str">
        <f t="shared" si="3"/>
        <v>1101</v>
      </c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5.75" customHeight="1">
      <c r="A708" s="118">
        <v>46263.0</v>
      </c>
      <c r="B708" s="119"/>
      <c r="C708" s="120" t="s">
        <v>160</v>
      </c>
      <c r="D708" s="121" t="s">
        <v>18</v>
      </c>
      <c r="E708" s="43" t="str">
        <f>IFERROR(VLOOKUP(D708,'Daftar Akun'!A$6:$B$103,2,FALSE),"")</f>
        <v>Kas</v>
      </c>
      <c r="F708" s="122">
        <v>831000.0</v>
      </c>
      <c r="G708" s="122"/>
      <c r="H708" s="34"/>
      <c r="I708" s="68">
        <f t="shared" si="1"/>
        <v>123</v>
      </c>
      <c r="J708" s="68" t="str">
        <f t="shared" si="2"/>
        <v>1101-123</v>
      </c>
      <c r="K708" s="71" t="str">
        <f>E709</f>
        <v>Bank</v>
      </c>
      <c r="L708" s="34" t="str">
        <f t="shared" si="3"/>
        <v>1102</v>
      </c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5.75" customHeight="1">
      <c r="A709" s="118">
        <v>46263.0</v>
      </c>
      <c r="B709" s="119"/>
      <c r="C709" s="120" t="s">
        <v>160</v>
      </c>
      <c r="D709" s="121" t="s">
        <v>33</v>
      </c>
      <c r="E709" s="43" t="str">
        <f>IFERROR(VLOOKUP(D709,'Daftar Akun'!A$6:$B$103,2,FALSE),"")</f>
        <v>Bank</v>
      </c>
      <c r="F709" s="129"/>
      <c r="G709" s="122">
        <v>831000.0</v>
      </c>
      <c r="H709" s="34"/>
      <c r="I709" s="68">
        <f t="shared" si="1"/>
        <v>153</v>
      </c>
      <c r="J709" s="68" t="str">
        <f t="shared" si="2"/>
        <v>1102-153</v>
      </c>
      <c r="K709" s="71" t="str">
        <f>E708</f>
        <v>Kas</v>
      </c>
      <c r="L709" s="34" t="str">
        <f t="shared" si="3"/>
        <v>1101</v>
      </c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5.75" customHeight="1">
      <c r="A710" s="118">
        <v>46263.0</v>
      </c>
      <c r="B710" s="119" t="s">
        <v>620</v>
      </c>
      <c r="C710" s="120" t="s">
        <v>195</v>
      </c>
      <c r="D710" s="121" t="s">
        <v>93</v>
      </c>
      <c r="E710" s="43" t="str">
        <f>IFERROR(VLOOKUP(D710,'Daftar Akun'!A$6:$B$103,2,FALSE),"")</f>
        <v>Pembelian Bunga</v>
      </c>
      <c r="F710" s="122">
        <v>97000.0</v>
      </c>
      <c r="G710" s="122"/>
      <c r="H710" s="34"/>
      <c r="I710" s="68">
        <f t="shared" si="1"/>
        <v>111</v>
      </c>
      <c r="J710" s="68" t="str">
        <f t="shared" si="2"/>
        <v>5101-111</v>
      </c>
      <c r="K710" s="71" t="str">
        <f>E711</f>
        <v>Hutang Dagang</v>
      </c>
      <c r="L710" s="34" t="str">
        <f t="shared" si="3"/>
        <v>2101</v>
      </c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5.75" customHeight="1">
      <c r="A711" s="118">
        <v>46263.0</v>
      </c>
      <c r="B711" s="119" t="s">
        <v>620</v>
      </c>
      <c r="C711" s="120" t="s">
        <v>195</v>
      </c>
      <c r="D711" s="121" t="s">
        <v>67</v>
      </c>
      <c r="E711" s="43" t="str">
        <f>IFERROR(VLOOKUP(D711,'Daftar Akun'!A$6:$B$103,2,FALSE),"")</f>
        <v>Hutang Dagang</v>
      </c>
      <c r="F711" s="129"/>
      <c r="G711" s="122">
        <v>97000.0</v>
      </c>
      <c r="H711" s="34"/>
      <c r="I711" s="68">
        <f t="shared" si="1"/>
        <v>25</v>
      </c>
      <c r="J711" s="68" t="str">
        <f t="shared" si="2"/>
        <v>2101-25</v>
      </c>
      <c r="K711" s="71" t="str">
        <f>E710</f>
        <v>Pembelian Bunga</v>
      </c>
      <c r="L711" s="34" t="str">
        <f t="shared" si="3"/>
        <v>5101</v>
      </c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5.75" customHeight="1">
      <c r="A712" s="118">
        <v>46263.0</v>
      </c>
      <c r="B712" s="119"/>
      <c r="C712" s="120" t="s">
        <v>621</v>
      </c>
      <c r="D712" s="121" t="s">
        <v>33</v>
      </c>
      <c r="E712" s="43" t="str">
        <f>IFERROR(VLOOKUP(D712,'Daftar Akun'!A$6:$B$103,2,FALSE),"")</f>
        <v>Bank</v>
      </c>
      <c r="F712" s="122">
        <v>1156320.0</v>
      </c>
      <c r="G712" s="122"/>
      <c r="H712" s="34"/>
      <c r="I712" s="68">
        <f t="shared" si="1"/>
        <v>154</v>
      </c>
      <c r="J712" s="68" t="str">
        <f t="shared" si="2"/>
        <v>1102-154</v>
      </c>
      <c r="K712" s="71" t="str">
        <f>E713</f>
        <v>Piutang Ongkir</v>
      </c>
      <c r="L712" s="34" t="str">
        <f t="shared" si="3"/>
        <v>1107</v>
      </c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5.75" customHeight="1">
      <c r="A713" s="118">
        <v>46263.0</v>
      </c>
      <c r="B713" s="119"/>
      <c r="C713" s="120" t="s">
        <v>621</v>
      </c>
      <c r="D713" s="121" t="s">
        <v>51</v>
      </c>
      <c r="E713" s="43" t="str">
        <f>IFERROR(VLOOKUP(D713,'Daftar Akun'!A$6:$B$103,2,FALSE),"")</f>
        <v>Piutang Ongkir</v>
      </c>
      <c r="F713" s="129"/>
      <c r="G713" s="122">
        <v>1156320.0</v>
      </c>
      <c r="H713" s="34"/>
      <c r="I713" s="68">
        <f t="shared" si="1"/>
        <v>56</v>
      </c>
      <c r="J713" s="68" t="str">
        <f t="shared" si="2"/>
        <v>1107-56</v>
      </c>
      <c r="K713" s="71" t="str">
        <f>E712</f>
        <v>Bank</v>
      </c>
      <c r="L713" s="34" t="str">
        <f t="shared" si="3"/>
        <v>1102</v>
      </c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5.75" customHeight="1">
      <c r="A714" s="118">
        <v>46265.0</v>
      </c>
      <c r="B714" s="119" t="s">
        <v>622</v>
      </c>
      <c r="C714" s="120" t="s">
        <v>249</v>
      </c>
      <c r="D714" s="121" t="s">
        <v>93</v>
      </c>
      <c r="E714" s="43" t="str">
        <f>IFERROR(VLOOKUP(D714,'Daftar Akun'!A$6:$B$103,2,FALSE),"")</f>
        <v>Pembelian Bunga</v>
      </c>
      <c r="F714" s="122">
        <v>75000.0</v>
      </c>
      <c r="G714" s="122"/>
      <c r="H714" s="34"/>
      <c r="I714" s="68">
        <f t="shared" si="1"/>
        <v>112</v>
      </c>
      <c r="J714" s="68" t="str">
        <f t="shared" si="2"/>
        <v>5101-112</v>
      </c>
      <c r="K714" s="71" t="str">
        <f>E715</f>
        <v>Kas</v>
      </c>
      <c r="L714" s="34" t="str">
        <f t="shared" si="3"/>
        <v>1101</v>
      </c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5.75" customHeight="1">
      <c r="A715" s="118">
        <v>46265.0</v>
      </c>
      <c r="B715" s="119" t="s">
        <v>622</v>
      </c>
      <c r="C715" s="120" t="s">
        <v>249</v>
      </c>
      <c r="D715" s="121" t="s">
        <v>18</v>
      </c>
      <c r="E715" s="43" t="str">
        <f>IFERROR(VLOOKUP(D715,'Daftar Akun'!A$6:$B$103,2,FALSE),"")</f>
        <v>Kas</v>
      </c>
      <c r="F715" s="129"/>
      <c r="G715" s="122">
        <v>75000.0</v>
      </c>
      <c r="H715" s="34"/>
      <c r="I715" s="68">
        <f t="shared" si="1"/>
        <v>124</v>
      </c>
      <c r="J715" s="68" t="str">
        <f t="shared" si="2"/>
        <v>1101-124</v>
      </c>
      <c r="K715" s="71" t="str">
        <f>E714</f>
        <v>Pembelian Bunga</v>
      </c>
      <c r="L715" s="34" t="str">
        <f t="shared" si="3"/>
        <v>5101</v>
      </c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5.75" customHeight="1">
      <c r="A716" s="118">
        <v>46265.0</v>
      </c>
      <c r="B716" s="119" t="s">
        <v>623</v>
      </c>
      <c r="C716" s="120" t="s">
        <v>624</v>
      </c>
      <c r="D716" s="121" t="s">
        <v>93</v>
      </c>
      <c r="E716" s="43" t="str">
        <f>IFERROR(VLOOKUP(D716,'Daftar Akun'!A$6:$B$103,2,FALSE),"")</f>
        <v>Pembelian Bunga</v>
      </c>
      <c r="F716" s="122">
        <v>300000.0</v>
      </c>
      <c r="G716" s="122"/>
      <c r="H716" s="34"/>
      <c r="I716" s="68">
        <f t="shared" si="1"/>
        <v>113</v>
      </c>
      <c r="J716" s="68" t="str">
        <f t="shared" si="2"/>
        <v>5101-113</v>
      </c>
      <c r="K716" s="71" t="str">
        <f>E717</f>
        <v>Kas</v>
      </c>
      <c r="L716" s="34" t="str">
        <f t="shared" si="3"/>
        <v>1101</v>
      </c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5.75" customHeight="1">
      <c r="A717" s="118">
        <v>46265.0</v>
      </c>
      <c r="B717" s="119" t="s">
        <v>623</v>
      </c>
      <c r="C717" s="120" t="s">
        <v>624</v>
      </c>
      <c r="D717" s="121" t="s">
        <v>18</v>
      </c>
      <c r="E717" s="43" t="str">
        <f>IFERROR(VLOOKUP(D717,'Daftar Akun'!A$6:$B$103,2,FALSE),"")</f>
        <v>Kas</v>
      </c>
      <c r="F717" s="129"/>
      <c r="G717" s="122">
        <v>300000.0</v>
      </c>
      <c r="H717" s="34"/>
      <c r="I717" s="68">
        <f t="shared" si="1"/>
        <v>125</v>
      </c>
      <c r="J717" s="68" t="str">
        <f t="shared" si="2"/>
        <v>1101-125</v>
      </c>
      <c r="K717" s="71" t="str">
        <f>E716</f>
        <v>Pembelian Bunga</v>
      </c>
      <c r="L717" s="34" t="str">
        <f t="shared" si="3"/>
        <v>5101</v>
      </c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5.75" customHeight="1">
      <c r="A718" s="118">
        <v>46265.0</v>
      </c>
      <c r="B718" s="119" t="s">
        <v>625</v>
      </c>
      <c r="C718" s="120" t="s">
        <v>626</v>
      </c>
      <c r="D718" s="121" t="s">
        <v>93</v>
      </c>
      <c r="E718" s="43" t="str">
        <f>IFERROR(VLOOKUP(D718,'Daftar Akun'!A$6:$B$103,2,FALSE),"")</f>
        <v>Pembelian Bunga</v>
      </c>
      <c r="F718" s="122">
        <v>287000.0</v>
      </c>
      <c r="G718" s="122"/>
      <c r="H718" s="34"/>
      <c r="I718" s="68">
        <f t="shared" si="1"/>
        <v>114</v>
      </c>
      <c r="J718" s="68" t="str">
        <f t="shared" si="2"/>
        <v>5101-114</v>
      </c>
      <c r="K718" s="71" t="str">
        <f>E719</f>
        <v>Hutang Dagang</v>
      </c>
      <c r="L718" s="34" t="str">
        <f t="shared" si="3"/>
        <v>2101</v>
      </c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5.75" customHeight="1">
      <c r="A719" s="118">
        <v>46265.0</v>
      </c>
      <c r="B719" s="119" t="s">
        <v>625</v>
      </c>
      <c r="C719" s="120" t="s">
        <v>626</v>
      </c>
      <c r="D719" s="121" t="s">
        <v>67</v>
      </c>
      <c r="E719" s="43" t="str">
        <f>IFERROR(VLOOKUP(D719,'Daftar Akun'!A$6:$B$103,2,FALSE),"")</f>
        <v>Hutang Dagang</v>
      </c>
      <c r="F719" s="129"/>
      <c r="G719" s="122">
        <v>287000.0</v>
      </c>
      <c r="H719" s="34"/>
      <c r="I719" s="68">
        <f t="shared" si="1"/>
        <v>26</v>
      </c>
      <c r="J719" s="68" t="str">
        <f t="shared" si="2"/>
        <v>2101-26</v>
      </c>
      <c r="K719" s="71" t="str">
        <f>E718</f>
        <v>Pembelian Bunga</v>
      </c>
      <c r="L719" s="34" t="str">
        <f t="shared" si="3"/>
        <v>5101</v>
      </c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5.75" customHeight="1">
      <c r="A720" s="118">
        <v>46265.0</v>
      </c>
      <c r="B720" s="119"/>
      <c r="C720" s="120" t="s">
        <v>627</v>
      </c>
      <c r="D720" s="121" t="s">
        <v>67</v>
      </c>
      <c r="E720" s="43" t="str">
        <f>IFERROR(VLOOKUP(D720,'Daftar Akun'!A$6:$B$103,2,FALSE),"")</f>
        <v>Hutang Dagang</v>
      </c>
      <c r="F720" s="122">
        <v>597000.0</v>
      </c>
      <c r="G720" s="122"/>
      <c r="H720" s="34"/>
      <c r="I720" s="68">
        <f t="shared" si="1"/>
        <v>27</v>
      </c>
      <c r="J720" s="68" t="str">
        <f t="shared" si="2"/>
        <v>2101-27</v>
      </c>
      <c r="K720" s="71" t="str">
        <f>E721</f>
        <v>Bank</v>
      </c>
      <c r="L720" s="34" t="str">
        <f t="shared" si="3"/>
        <v>1102</v>
      </c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5.75" customHeight="1">
      <c r="A721" s="118">
        <v>46265.0</v>
      </c>
      <c r="B721" s="119"/>
      <c r="C721" s="120" t="s">
        <v>627</v>
      </c>
      <c r="D721" s="121" t="s">
        <v>33</v>
      </c>
      <c r="E721" s="43" t="str">
        <f>IFERROR(VLOOKUP(D721,'Daftar Akun'!A$6:$B$103,2,FALSE),"")</f>
        <v>Bank</v>
      </c>
      <c r="F721" s="129"/>
      <c r="G721" s="122">
        <v>597000.0</v>
      </c>
      <c r="H721" s="34"/>
      <c r="I721" s="68">
        <f t="shared" si="1"/>
        <v>155</v>
      </c>
      <c r="J721" s="68" t="str">
        <f t="shared" si="2"/>
        <v>1102-155</v>
      </c>
      <c r="K721" s="71" t="str">
        <f>E720</f>
        <v>Hutang Dagang</v>
      </c>
      <c r="L721" s="34" t="str">
        <f t="shared" si="3"/>
        <v>2101</v>
      </c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5.75" customHeight="1">
      <c r="A722" s="118">
        <v>46265.0</v>
      </c>
      <c r="B722" s="119"/>
      <c r="C722" s="120" t="s">
        <v>324</v>
      </c>
      <c r="D722" s="121" t="s">
        <v>93</v>
      </c>
      <c r="E722" s="43" t="str">
        <f>IFERROR(VLOOKUP(D722,'Daftar Akun'!A$6:$B$103,2,FALSE),"")</f>
        <v>Pembelian Bunga</v>
      </c>
      <c r="F722" s="122">
        <v>355000.0</v>
      </c>
      <c r="G722" s="122"/>
      <c r="H722" s="34"/>
      <c r="I722" s="68">
        <f t="shared" si="1"/>
        <v>115</v>
      </c>
      <c r="J722" s="68" t="str">
        <f t="shared" si="2"/>
        <v>5101-115</v>
      </c>
      <c r="K722" s="71" t="str">
        <f>E723</f>
        <v>Bank</v>
      </c>
      <c r="L722" s="34" t="str">
        <f t="shared" si="3"/>
        <v>1102</v>
      </c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5.75" customHeight="1">
      <c r="A723" s="118">
        <v>46265.0</v>
      </c>
      <c r="B723" s="119"/>
      <c r="C723" s="120" t="s">
        <v>324</v>
      </c>
      <c r="D723" s="121" t="s">
        <v>33</v>
      </c>
      <c r="E723" s="43" t="str">
        <f>IFERROR(VLOOKUP(D723,'Daftar Akun'!A$6:$B$103,2,FALSE),"")</f>
        <v>Bank</v>
      </c>
      <c r="F723" s="129"/>
      <c r="G723" s="122">
        <v>355000.0</v>
      </c>
      <c r="H723" s="34"/>
      <c r="I723" s="68">
        <f t="shared" si="1"/>
        <v>156</v>
      </c>
      <c r="J723" s="68" t="str">
        <f t="shared" si="2"/>
        <v>1102-156</v>
      </c>
      <c r="K723" s="71" t="str">
        <f>E722</f>
        <v>Pembelian Bunga</v>
      </c>
      <c r="L723" s="34" t="str">
        <f t="shared" si="3"/>
        <v>5101</v>
      </c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5.75" customHeight="1">
      <c r="A724" s="118">
        <v>46265.0</v>
      </c>
      <c r="B724" s="119"/>
      <c r="C724" s="120" t="s">
        <v>628</v>
      </c>
      <c r="D724" s="121" t="s">
        <v>93</v>
      </c>
      <c r="E724" s="43" t="str">
        <f>IFERROR(VLOOKUP(D724,'Daftar Akun'!A$6:$B$103,2,FALSE),"")</f>
        <v>Pembelian Bunga</v>
      </c>
      <c r="F724" s="122">
        <v>78000.0</v>
      </c>
      <c r="G724" s="122"/>
      <c r="H724" s="34"/>
      <c r="I724" s="68">
        <f t="shared" si="1"/>
        <v>116</v>
      </c>
      <c r="J724" s="68" t="str">
        <f t="shared" si="2"/>
        <v>5101-116</v>
      </c>
      <c r="K724" s="71" t="str">
        <f>E725</f>
        <v>Bank</v>
      </c>
      <c r="L724" s="34" t="str">
        <f t="shared" si="3"/>
        <v>1102</v>
      </c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5.75" customHeight="1">
      <c r="A725" s="118">
        <v>46265.0</v>
      </c>
      <c r="B725" s="119"/>
      <c r="C725" s="120" t="s">
        <v>628</v>
      </c>
      <c r="D725" s="121" t="s">
        <v>33</v>
      </c>
      <c r="E725" s="43" t="str">
        <f>IFERROR(VLOOKUP(D725,'Daftar Akun'!A$6:$B$103,2,FALSE),"")</f>
        <v>Bank</v>
      </c>
      <c r="F725" s="129"/>
      <c r="G725" s="122">
        <v>78000.0</v>
      </c>
      <c r="H725" s="34"/>
      <c r="I725" s="68">
        <f t="shared" si="1"/>
        <v>157</v>
      </c>
      <c r="J725" s="68" t="str">
        <f t="shared" si="2"/>
        <v>1102-157</v>
      </c>
      <c r="K725" s="71" t="str">
        <f>E724</f>
        <v>Pembelian Bunga</v>
      </c>
      <c r="L725" s="34" t="str">
        <f t="shared" si="3"/>
        <v>5101</v>
      </c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5.75" customHeight="1">
      <c r="A726" s="118">
        <v>46265.0</v>
      </c>
      <c r="B726" s="119" t="s">
        <v>629</v>
      </c>
      <c r="C726" s="120" t="s">
        <v>157</v>
      </c>
      <c r="D726" s="121" t="s">
        <v>93</v>
      </c>
      <c r="E726" s="43" t="str">
        <f>IFERROR(VLOOKUP(D726,'Daftar Akun'!A$6:$B$103,2,FALSE),"")</f>
        <v>Pembelian Bunga</v>
      </c>
      <c r="F726" s="122">
        <v>4520000.0</v>
      </c>
      <c r="G726" s="122"/>
      <c r="H726" s="34"/>
      <c r="I726" s="68">
        <f t="shared" si="1"/>
        <v>117</v>
      </c>
      <c r="J726" s="68" t="str">
        <f t="shared" si="2"/>
        <v>5101-117</v>
      </c>
      <c r="K726" s="71" t="str">
        <f>E727</f>
        <v>Bank</v>
      </c>
      <c r="L726" s="34" t="str">
        <f t="shared" si="3"/>
        <v>1102</v>
      </c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5.75" customHeight="1">
      <c r="A727" s="118">
        <v>46265.0</v>
      </c>
      <c r="B727" s="119" t="s">
        <v>629</v>
      </c>
      <c r="C727" s="120" t="s">
        <v>157</v>
      </c>
      <c r="D727" s="121" t="s">
        <v>33</v>
      </c>
      <c r="E727" s="43" t="str">
        <f>IFERROR(VLOOKUP(D727,'Daftar Akun'!A$6:$B$103,2,FALSE),"")</f>
        <v>Bank</v>
      </c>
      <c r="F727" s="129"/>
      <c r="G727" s="122">
        <v>4520000.0</v>
      </c>
      <c r="H727" s="34"/>
      <c r="I727" s="68">
        <f t="shared" si="1"/>
        <v>158</v>
      </c>
      <c r="J727" s="68" t="str">
        <f t="shared" si="2"/>
        <v>1102-158</v>
      </c>
      <c r="K727" s="71" t="str">
        <f>E726</f>
        <v>Pembelian Bunga</v>
      </c>
      <c r="L727" s="34" t="str">
        <f t="shared" si="3"/>
        <v>5101</v>
      </c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5.75" customHeight="1">
      <c r="A728" s="118">
        <v>46265.0</v>
      </c>
      <c r="B728" s="119"/>
      <c r="C728" s="120" t="s">
        <v>630</v>
      </c>
      <c r="D728" s="121" t="s">
        <v>121</v>
      </c>
      <c r="E728" s="43" t="str">
        <f>IFERROR(VLOOKUP(D728,'Daftar Akun'!A$6:$B$103,2,FALSE),"")</f>
        <v>Beban Lain-Lain</v>
      </c>
      <c r="F728" s="122">
        <v>525000.0</v>
      </c>
      <c r="G728" s="122"/>
      <c r="H728" s="34"/>
      <c r="I728" s="68">
        <f t="shared" si="1"/>
        <v>24</v>
      </c>
      <c r="J728" s="68" t="str">
        <f t="shared" si="2"/>
        <v>6108-24</v>
      </c>
      <c r="K728" s="71" t="str">
        <f>E729</f>
        <v>Bank</v>
      </c>
      <c r="L728" s="34" t="str">
        <f t="shared" si="3"/>
        <v>1102</v>
      </c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5.75" customHeight="1">
      <c r="A729" s="118">
        <v>46265.0</v>
      </c>
      <c r="B729" s="119"/>
      <c r="C729" s="120" t="s">
        <v>630</v>
      </c>
      <c r="D729" s="121" t="s">
        <v>33</v>
      </c>
      <c r="E729" s="43" t="str">
        <f>IFERROR(VLOOKUP(D729,'Daftar Akun'!A$6:$B$103,2,FALSE),"")</f>
        <v>Bank</v>
      </c>
      <c r="F729" s="129"/>
      <c r="G729" s="122">
        <v>525000.0</v>
      </c>
      <c r="H729" s="34"/>
      <c r="I729" s="68">
        <f t="shared" si="1"/>
        <v>159</v>
      </c>
      <c r="J729" s="68" t="str">
        <f t="shared" si="2"/>
        <v>1102-159</v>
      </c>
      <c r="K729" s="71" t="str">
        <f>E728</f>
        <v>Beban Lain-Lain</v>
      </c>
      <c r="L729" s="34" t="str">
        <f t="shared" si="3"/>
        <v>6108</v>
      </c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5.75" customHeight="1">
      <c r="A730" s="118">
        <v>46265.0</v>
      </c>
      <c r="B730" s="119"/>
      <c r="C730" s="120" t="s">
        <v>631</v>
      </c>
      <c r="D730" s="121" t="s">
        <v>93</v>
      </c>
      <c r="E730" s="43" t="str">
        <f>IFERROR(VLOOKUP(D730,'Daftar Akun'!A$6:$B$103,2,FALSE),"")</f>
        <v>Pembelian Bunga</v>
      </c>
      <c r="F730" s="122">
        <v>300000.0</v>
      </c>
      <c r="G730" s="122"/>
      <c r="H730" s="34"/>
      <c r="I730" s="68">
        <f t="shared" si="1"/>
        <v>118</v>
      </c>
      <c r="J730" s="68" t="str">
        <f t="shared" si="2"/>
        <v>5101-118</v>
      </c>
      <c r="K730" s="71" t="str">
        <f>E731</f>
        <v>Bank</v>
      </c>
      <c r="L730" s="34" t="str">
        <f t="shared" si="3"/>
        <v>1102</v>
      </c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5.75" customHeight="1">
      <c r="A731" s="118">
        <v>46265.0</v>
      </c>
      <c r="B731" s="119"/>
      <c r="C731" s="120" t="s">
        <v>631</v>
      </c>
      <c r="D731" s="121" t="s">
        <v>33</v>
      </c>
      <c r="E731" s="43" t="str">
        <f>IFERROR(VLOOKUP(D731,'Daftar Akun'!A$6:$B$103,2,FALSE),"")</f>
        <v>Bank</v>
      </c>
      <c r="F731" s="129"/>
      <c r="G731" s="122">
        <v>300000.0</v>
      </c>
      <c r="H731" s="34"/>
      <c r="I731" s="68">
        <f t="shared" si="1"/>
        <v>160</v>
      </c>
      <c r="J731" s="68" t="str">
        <f t="shared" si="2"/>
        <v>1102-160</v>
      </c>
      <c r="K731" s="71" t="str">
        <f>E730</f>
        <v>Pembelian Bunga</v>
      </c>
      <c r="L731" s="34" t="str">
        <f t="shared" si="3"/>
        <v>5101</v>
      </c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5.75" customHeight="1">
      <c r="A732" s="118">
        <v>46265.0</v>
      </c>
      <c r="B732" s="119"/>
      <c r="C732" s="120" t="s">
        <v>632</v>
      </c>
      <c r="D732" s="121" t="s">
        <v>105</v>
      </c>
      <c r="E732" s="43" t="str">
        <f>IFERROR(VLOOKUP(D732,'Daftar Akun'!A$6:$B$103,2,FALSE),"")</f>
        <v>Beban Gaji</v>
      </c>
      <c r="F732" s="122">
        <v>2067000.0</v>
      </c>
      <c r="G732" s="122"/>
      <c r="H732" s="34"/>
      <c r="I732" s="68">
        <f t="shared" si="1"/>
        <v>10</v>
      </c>
      <c r="J732" s="68" t="str">
        <f t="shared" si="2"/>
        <v>6101-10</v>
      </c>
      <c r="K732" s="71" t="str">
        <f>E733</f>
        <v>Bank</v>
      </c>
      <c r="L732" s="34" t="str">
        <f t="shared" si="3"/>
        <v>1102</v>
      </c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5.75" customHeight="1">
      <c r="A733" s="118">
        <v>46265.0</v>
      </c>
      <c r="B733" s="119"/>
      <c r="C733" s="120" t="s">
        <v>632</v>
      </c>
      <c r="D733" s="121" t="s">
        <v>33</v>
      </c>
      <c r="E733" s="43" t="str">
        <f>IFERROR(VLOOKUP(D733,'Daftar Akun'!A$6:$B$103,2,FALSE),"")</f>
        <v>Bank</v>
      </c>
      <c r="F733" s="129"/>
      <c r="G733" s="122">
        <v>2067000.0</v>
      </c>
      <c r="H733" s="34"/>
      <c r="I733" s="68">
        <f t="shared" si="1"/>
        <v>161</v>
      </c>
      <c r="J733" s="68" t="str">
        <f t="shared" si="2"/>
        <v>1102-161</v>
      </c>
      <c r="K733" s="71" t="str">
        <f>E732</f>
        <v>Beban Gaji</v>
      </c>
      <c r="L733" s="34" t="str">
        <f t="shared" si="3"/>
        <v>6101</v>
      </c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5.75" customHeight="1">
      <c r="A734" s="118">
        <v>46265.0</v>
      </c>
      <c r="B734" s="119"/>
      <c r="C734" s="120" t="s">
        <v>633</v>
      </c>
      <c r="D734" s="121" t="s">
        <v>105</v>
      </c>
      <c r="E734" s="43" t="str">
        <f>IFERROR(VLOOKUP(D734,'Daftar Akun'!A$6:$B$103,2,FALSE),"")</f>
        <v>Beban Gaji</v>
      </c>
      <c r="F734" s="122">
        <v>530000.0</v>
      </c>
      <c r="G734" s="122"/>
      <c r="H734" s="34"/>
      <c r="I734" s="68">
        <f t="shared" si="1"/>
        <v>11</v>
      </c>
      <c r="J734" s="68" t="str">
        <f t="shared" si="2"/>
        <v>6101-11</v>
      </c>
      <c r="K734" s="71" t="str">
        <f>E735</f>
        <v>Kas</v>
      </c>
      <c r="L734" s="34" t="str">
        <f t="shared" si="3"/>
        <v>1101</v>
      </c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5.75" customHeight="1">
      <c r="A735" s="118">
        <v>46265.0</v>
      </c>
      <c r="B735" s="119"/>
      <c r="C735" s="120" t="s">
        <v>633</v>
      </c>
      <c r="D735" s="121" t="s">
        <v>18</v>
      </c>
      <c r="E735" s="43" t="str">
        <f>IFERROR(VLOOKUP(D735,'Daftar Akun'!A$6:$B$103,2,FALSE),"")</f>
        <v>Kas</v>
      </c>
      <c r="F735" s="129"/>
      <c r="G735" s="122">
        <v>530000.0</v>
      </c>
      <c r="H735" s="34"/>
      <c r="I735" s="68">
        <f t="shared" si="1"/>
        <v>126</v>
      </c>
      <c r="J735" s="68" t="str">
        <f t="shared" si="2"/>
        <v>1101-126</v>
      </c>
      <c r="K735" s="71" t="str">
        <f>E734</f>
        <v>Beban Gaji</v>
      </c>
      <c r="L735" s="34" t="str">
        <f t="shared" si="3"/>
        <v>6101</v>
      </c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5.75" customHeight="1">
      <c r="A736" s="204">
        <v>46265.0</v>
      </c>
      <c r="B736" s="205"/>
      <c r="C736" s="206" t="s">
        <v>634</v>
      </c>
      <c r="D736" s="207" t="s">
        <v>105</v>
      </c>
      <c r="E736" s="43" t="str">
        <f>IFERROR(VLOOKUP(D736,'Daftar Akun'!A$6:$B$103,2,FALSE),"")</f>
        <v>Beban Gaji</v>
      </c>
      <c r="F736" s="208">
        <v>554200.0</v>
      </c>
      <c r="G736" s="208"/>
      <c r="H736" s="34"/>
      <c r="I736" s="68">
        <f t="shared" si="1"/>
        <v>12</v>
      </c>
      <c r="J736" s="68" t="str">
        <f t="shared" si="2"/>
        <v>6101-12</v>
      </c>
      <c r="K736" s="71" t="str">
        <f>E737</f>
        <v>Kas</v>
      </c>
      <c r="L736" s="34" t="str">
        <f t="shared" si="3"/>
        <v>1101</v>
      </c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5.75" customHeight="1">
      <c r="A737" s="204">
        <v>46265.0</v>
      </c>
      <c r="B737" s="205"/>
      <c r="C737" s="206" t="s">
        <v>634</v>
      </c>
      <c r="D737" s="207" t="s">
        <v>18</v>
      </c>
      <c r="E737" s="43" t="str">
        <f>IFERROR(VLOOKUP(D737,'Daftar Akun'!A$6:$B$103,2,FALSE),"")</f>
        <v>Kas</v>
      </c>
      <c r="F737" s="209"/>
      <c r="G737" s="208">
        <v>554200.0</v>
      </c>
      <c r="H737" s="34"/>
      <c r="I737" s="68">
        <f t="shared" si="1"/>
        <v>127</v>
      </c>
      <c r="J737" s="68" t="str">
        <f t="shared" si="2"/>
        <v>1101-127</v>
      </c>
      <c r="K737" s="71" t="str">
        <f>E736</f>
        <v>Beban Gaji</v>
      </c>
      <c r="L737" s="34" t="str">
        <f t="shared" si="3"/>
        <v>6101</v>
      </c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5.75" customHeight="1">
      <c r="A738" s="204">
        <v>46265.0</v>
      </c>
      <c r="B738" s="205"/>
      <c r="C738" s="206" t="s">
        <v>635</v>
      </c>
      <c r="D738" s="207" t="s">
        <v>116</v>
      </c>
      <c r="E738" s="43" t="str">
        <f>IFERROR(VLOOKUP(D738,'Daftar Akun'!A$6:$B$103,2,FALSE),"")</f>
        <v>Beban Kerugian Bunga Rusak/Layu</v>
      </c>
      <c r="F738" s="208">
        <v>1115000.0</v>
      </c>
      <c r="G738" s="208"/>
      <c r="H738" s="34"/>
      <c r="I738" s="68">
        <f t="shared" si="1"/>
        <v>1</v>
      </c>
      <c r="J738" s="68" t="str">
        <f t="shared" si="2"/>
        <v>6106-1</v>
      </c>
      <c r="K738" s="71" t="str">
        <f>E739</f>
        <v>Pembelian Bunga</v>
      </c>
      <c r="L738" s="34" t="str">
        <f t="shared" si="3"/>
        <v>5101</v>
      </c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5.75" customHeight="1">
      <c r="A739" s="204">
        <v>46265.0</v>
      </c>
      <c r="B739" s="205"/>
      <c r="C739" s="206" t="s">
        <v>635</v>
      </c>
      <c r="D739" s="207" t="s">
        <v>93</v>
      </c>
      <c r="E739" s="43" t="str">
        <f>IFERROR(VLOOKUP(D739,'Daftar Akun'!A$6:$B$103,2,FALSE),"")</f>
        <v>Pembelian Bunga</v>
      </c>
      <c r="F739" s="209"/>
      <c r="G739" s="208">
        <v>1115000.0</v>
      </c>
      <c r="H739" s="34"/>
      <c r="I739" s="68">
        <f t="shared" si="1"/>
        <v>119</v>
      </c>
      <c r="J739" s="68" t="str">
        <f t="shared" si="2"/>
        <v>5101-119</v>
      </c>
      <c r="K739" s="71" t="str">
        <f>E738</f>
        <v>Beban Kerugian Bunga Rusak/Layu</v>
      </c>
      <c r="L739" s="34" t="str">
        <f t="shared" si="3"/>
        <v>6106</v>
      </c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5.75" customHeight="1">
      <c r="A740" s="204">
        <v>46265.0</v>
      </c>
      <c r="B740" s="205"/>
      <c r="C740" s="206" t="s">
        <v>636</v>
      </c>
      <c r="D740" s="207" t="s">
        <v>118</v>
      </c>
      <c r="E740" s="43" t="str">
        <f>IFERROR(VLOOKUP(D740,'Daftar Akun'!A$6:$B$103,2,FALSE),"")</f>
        <v>Beban Perlengkapan</v>
      </c>
      <c r="F740" s="208">
        <v>945000.0</v>
      </c>
      <c r="G740" s="208"/>
      <c r="H740" s="34"/>
      <c r="I740" s="68">
        <f t="shared" si="1"/>
        <v>1</v>
      </c>
      <c r="J740" s="68" t="str">
        <f t="shared" si="2"/>
        <v>6107-1</v>
      </c>
      <c r="K740" s="71" t="str">
        <f>E741</f>
        <v>Perlengkapan</v>
      </c>
      <c r="L740" s="34" t="str">
        <f t="shared" si="3"/>
        <v>1108</v>
      </c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5.75" customHeight="1">
      <c r="A741" s="204">
        <v>46265.0</v>
      </c>
      <c r="B741" s="205"/>
      <c r="C741" s="206" t="s">
        <v>636</v>
      </c>
      <c r="D741" s="207" t="s">
        <v>53</v>
      </c>
      <c r="E741" s="43" t="str">
        <f>IFERROR(VLOOKUP(D741,'Daftar Akun'!A$6:$B$103,2,FALSE),"")</f>
        <v>Perlengkapan</v>
      </c>
      <c r="F741" s="209"/>
      <c r="G741" s="208">
        <v>945000.0</v>
      </c>
      <c r="H741" s="34"/>
      <c r="I741" s="68">
        <f t="shared" si="1"/>
        <v>9</v>
      </c>
      <c r="J741" s="68" t="str">
        <f t="shared" si="2"/>
        <v>1108-9</v>
      </c>
      <c r="K741" s="71" t="str">
        <f>E740</f>
        <v>Beban Perlengkapan</v>
      </c>
      <c r="L741" s="34" t="str">
        <f t="shared" si="3"/>
        <v>6107</v>
      </c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5.75" customHeight="1">
      <c r="A742" s="204">
        <v>46265.0</v>
      </c>
      <c r="B742" s="205"/>
      <c r="C742" s="206" t="s">
        <v>637</v>
      </c>
      <c r="D742" s="207" t="s">
        <v>114</v>
      </c>
      <c r="E742" s="43" t="str">
        <f>IFERROR(VLOOKUP(D742,'Daftar Akun'!A$6:$B$103,2,FALSE),"")</f>
        <v>Beban Penyusutan</v>
      </c>
      <c r="F742" s="208">
        <v>2911611.0</v>
      </c>
      <c r="G742" s="208"/>
      <c r="H742" s="34"/>
      <c r="I742" s="68">
        <f t="shared" si="1"/>
        <v>1</v>
      </c>
      <c r="J742" s="68" t="str">
        <f t="shared" si="2"/>
        <v>6105-1</v>
      </c>
      <c r="K742" s="71" t="str">
        <f>E743</f>
        <v>Akumulasi Penyusutan Peralatan</v>
      </c>
      <c r="L742" s="34" t="str">
        <f t="shared" si="3"/>
        <v>1106</v>
      </c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5.75" customHeight="1">
      <c r="A743" s="204">
        <v>46265.0</v>
      </c>
      <c r="B743" s="205"/>
      <c r="C743" s="206" t="s">
        <v>637</v>
      </c>
      <c r="D743" s="207" t="s">
        <v>46</v>
      </c>
      <c r="E743" s="43" t="str">
        <f>IFERROR(VLOOKUP(D743,'Daftar Akun'!A$6:$B$103,2,FALSE),"")</f>
        <v>Akumulasi Penyusutan Peralatan</v>
      </c>
      <c r="F743" s="209"/>
      <c r="G743" s="208">
        <v>2911611.0</v>
      </c>
      <c r="H743" s="34"/>
      <c r="I743" s="68">
        <f t="shared" si="1"/>
        <v>1</v>
      </c>
      <c r="J743" s="68" t="str">
        <f t="shared" si="2"/>
        <v>1106-1</v>
      </c>
      <c r="K743" s="71" t="str">
        <f>E742</f>
        <v>Beban Penyusutan</v>
      </c>
      <c r="L743" s="34" t="str">
        <f t="shared" si="3"/>
        <v>6105</v>
      </c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5.75" customHeight="1">
      <c r="A744" s="204">
        <v>46265.0</v>
      </c>
      <c r="B744" s="205"/>
      <c r="C744" s="206" t="s">
        <v>638</v>
      </c>
      <c r="D744" s="207" t="s">
        <v>67</v>
      </c>
      <c r="E744" s="43" t="str">
        <f>IFERROR(VLOOKUP(D744,'Daftar Akun'!A$6:$B$103,2,FALSE),"")</f>
        <v>Hutang Dagang</v>
      </c>
      <c r="F744" s="208">
        <v>3120000.0</v>
      </c>
      <c r="G744" s="208"/>
      <c r="H744" s="34"/>
      <c r="I744" s="68">
        <f t="shared" si="1"/>
        <v>28</v>
      </c>
      <c r="J744" s="68" t="str">
        <f t="shared" si="2"/>
        <v>2101-28</v>
      </c>
      <c r="K744" s="71" t="str">
        <f>E745</f>
        <v>Piutang Dagang</v>
      </c>
      <c r="L744" s="34" t="str">
        <f t="shared" si="3"/>
        <v>1103</v>
      </c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5.75" customHeight="1">
      <c r="A745" s="204">
        <v>46265.0</v>
      </c>
      <c r="B745" s="205"/>
      <c r="C745" s="206" t="s">
        <v>638</v>
      </c>
      <c r="D745" s="207" t="s">
        <v>36</v>
      </c>
      <c r="E745" s="43" t="str">
        <f>IFERROR(VLOOKUP(D745,'Daftar Akun'!A$6:$B$103,2,FALSE),"")</f>
        <v>Piutang Dagang</v>
      </c>
      <c r="F745" s="209"/>
      <c r="G745" s="208">
        <v>3120000.0</v>
      </c>
      <c r="H745" s="34"/>
      <c r="I745" s="68">
        <f t="shared" si="1"/>
        <v>90</v>
      </c>
      <c r="J745" s="68" t="str">
        <f t="shared" si="2"/>
        <v>1103-90</v>
      </c>
      <c r="K745" s="71" t="str">
        <f>E744</f>
        <v>Hutang Dagang</v>
      </c>
      <c r="L745" s="34" t="str">
        <f t="shared" si="3"/>
        <v>2101</v>
      </c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5.75" customHeight="1">
      <c r="A746" s="204">
        <v>46265.0</v>
      </c>
      <c r="B746" s="205"/>
      <c r="C746" s="206" t="s">
        <v>639</v>
      </c>
      <c r="D746" s="207" t="s">
        <v>67</v>
      </c>
      <c r="E746" s="43" t="str">
        <f>IFERROR(VLOOKUP(D746,'Daftar Akun'!A$6:$B$103,2,FALSE),"")</f>
        <v>Hutang Dagang</v>
      </c>
      <c r="F746" s="208">
        <v>1273000.0</v>
      </c>
      <c r="G746" s="208"/>
      <c r="H746" s="34"/>
      <c r="I746" s="68">
        <f t="shared" si="1"/>
        <v>29</v>
      </c>
      <c r="J746" s="68" t="str">
        <f t="shared" si="2"/>
        <v>2101-29</v>
      </c>
      <c r="K746" s="71" t="str">
        <f>E747</f>
        <v>Bank</v>
      </c>
      <c r="L746" s="34" t="str">
        <f t="shared" si="3"/>
        <v>1102</v>
      </c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5.75" customHeight="1">
      <c r="A747" s="204">
        <v>46265.0</v>
      </c>
      <c r="B747" s="205"/>
      <c r="C747" s="206" t="s">
        <v>639</v>
      </c>
      <c r="D747" s="207" t="s">
        <v>33</v>
      </c>
      <c r="E747" s="43" t="str">
        <f>IFERROR(VLOOKUP(D747,'Daftar Akun'!A$6:$B$103,2,FALSE),"")</f>
        <v>Bank</v>
      </c>
      <c r="F747" s="209"/>
      <c r="G747" s="208">
        <v>1273000.0</v>
      </c>
      <c r="H747" s="34"/>
      <c r="I747" s="68">
        <f t="shared" si="1"/>
        <v>162</v>
      </c>
      <c r="J747" s="68" t="str">
        <f t="shared" si="2"/>
        <v>1102-162</v>
      </c>
      <c r="K747" s="71" t="str">
        <f>E746</f>
        <v>Hutang Dagang</v>
      </c>
      <c r="L747" s="34" t="str">
        <f t="shared" si="3"/>
        <v>2101</v>
      </c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5.75" customHeight="1">
      <c r="A748" s="204">
        <v>46265.0</v>
      </c>
      <c r="B748" s="205"/>
      <c r="C748" s="120" t="s">
        <v>640</v>
      </c>
      <c r="D748" s="207" t="s">
        <v>18</v>
      </c>
      <c r="E748" s="43" t="str">
        <f>IFERROR(VLOOKUP(D748,'Daftar Akun'!A$6:$B$103,2,FALSE),"")</f>
        <v>Kas</v>
      </c>
      <c r="F748" s="208">
        <v>15000.0</v>
      </c>
      <c r="G748" s="208"/>
      <c r="H748" s="34"/>
      <c r="I748" s="68">
        <f t="shared" si="1"/>
        <v>128</v>
      </c>
      <c r="J748" s="68" t="str">
        <f t="shared" si="2"/>
        <v>1101-128</v>
      </c>
      <c r="K748" s="71" t="str">
        <f>E749</f>
        <v>Pendapatan Lain-Lain</v>
      </c>
      <c r="L748" s="34" t="str">
        <f t="shared" si="3"/>
        <v>4104</v>
      </c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5.75" customHeight="1">
      <c r="A749" s="204">
        <v>46265.0</v>
      </c>
      <c r="B749" s="205"/>
      <c r="C749" s="120" t="s">
        <v>640</v>
      </c>
      <c r="D749" s="207" t="s">
        <v>91</v>
      </c>
      <c r="E749" s="43" t="str">
        <f>IFERROR(VLOOKUP(D749,'Daftar Akun'!A$6:$B$103,2,FALSE),"")</f>
        <v>Pendapatan Lain-Lain</v>
      </c>
      <c r="F749" s="209"/>
      <c r="G749" s="208">
        <v>15000.0</v>
      </c>
      <c r="H749" s="34"/>
      <c r="I749" s="68">
        <f t="shared" si="1"/>
        <v>3</v>
      </c>
      <c r="J749" s="68" t="str">
        <f t="shared" si="2"/>
        <v>4104-3</v>
      </c>
      <c r="K749" s="71" t="str">
        <f>E748</f>
        <v>Kas</v>
      </c>
      <c r="L749" s="34" t="str">
        <f t="shared" si="3"/>
        <v>1101</v>
      </c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5.75" customHeight="1">
      <c r="A750" s="204">
        <v>46265.0</v>
      </c>
      <c r="B750" s="205"/>
      <c r="C750" s="206" t="s">
        <v>641</v>
      </c>
      <c r="D750" s="207" t="s">
        <v>39</v>
      </c>
      <c r="E750" s="43" t="str">
        <f>IFERROR(VLOOKUP(D750,'Daftar Akun'!A$6:$B$103,2,FALSE),"")</f>
        <v>Persediaan Bunga</v>
      </c>
      <c r="F750" s="208">
        <v>2534000.0</v>
      </c>
      <c r="G750" s="208"/>
      <c r="H750" s="34"/>
      <c r="I750" s="68">
        <f t="shared" si="1"/>
        <v>1</v>
      </c>
      <c r="J750" s="68" t="str">
        <f t="shared" si="2"/>
        <v>1104-1</v>
      </c>
      <c r="K750" s="71" t="str">
        <f>E751</f>
        <v>Modal Pemilik</v>
      </c>
      <c r="L750" s="34" t="str">
        <f t="shared" si="3"/>
        <v>3101</v>
      </c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5.75" customHeight="1">
      <c r="A751" s="204">
        <v>46265.0</v>
      </c>
      <c r="B751" s="205"/>
      <c r="C751" s="206" t="s">
        <v>641</v>
      </c>
      <c r="D751" s="207" t="s">
        <v>73</v>
      </c>
      <c r="E751" s="43" t="str">
        <f>IFERROR(VLOOKUP(D751,'Daftar Akun'!A$6:$B$103,2,FALSE),"")</f>
        <v>Modal Pemilik</v>
      </c>
      <c r="F751" s="209"/>
      <c r="G751" s="208">
        <v>2534000.0</v>
      </c>
      <c r="H751" s="34"/>
      <c r="I751" s="68">
        <f t="shared" si="1"/>
        <v>3</v>
      </c>
      <c r="J751" s="68" t="str">
        <f t="shared" si="2"/>
        <v>3101-3</v>
      </c>
      <c r="K751" s="71" t="str">
        <f>E750</f>
        <v>Persediaan Bunga</v>
      </c>
      <c r="L751" s="34" t="str">
        <f t="shared" si="3"/>
        <v>1104</v>
      </c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5.75" customHeight="1">
      <c r="A752" s="204">
        <v>46265.0</v>
      </c>
      <c r="B752" s="205"/>
      <c r="C752" s="206" t="s">
        <v>266</v>
      </c>
      <c r="D752" s="207" t="s">
        <v>36</v>
      </c>
      <c r="E752" s="43" t="str">
        <f>IFERROR(VLOOKUP(D752,'Daftar Akun'!A$6:$B$103,2,FALSE),"")</f>
        <v>Piutang Dagang</v>
      </c>
      <c r="F752" s="208">
        <v>745000.0</v>
      </c>
      <c r="G752" s="208"/>
      <c r="H752" s="34"/>
      <c r="I752" s="68">
        <f t="shared" si="1"/>
        <v>91</v>
      </c>
      <c r="J752" s="68" t="str">
        <f t="shared" si="2"/>
        <v>1103-91</v>
      </c>
      <c r="K752" s="71" t="str">
        <f>E753</f>
        <v>Penjualan</v>
      </c>
      <c r="L752" s="34" t="str">
        <f t="shared" si="3"/>
        <v>4101</v>
      </c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5.75" customHeight="1">
      <c r="A753" s="204">
        <v>46265.0</v>
      </c>
      <c r="B753" s="205"/>
      <c r="C753" s="206" t="s">
        <v>266</v>
      </c>
      <c r="D753" s="207" t="s">
        <v>80</v>
      </c>
      <c r="E753" s="43" t="str">
        <f>IFERROR(VLOOKUP(D753,'Daftar Akun'!A$6:$B$103,2,FALSE),"")</f>
        <v>Penjualan</v>
      </c>
      <c r="F753" s="209"/>
      <c r="G753" s="208">
        <v>745000.0</v>
      </c>
      <c r="H753" s="34"/>
      <c r="I753" s="68">
        <f t="shared" si="1"/>
        <v>81</v>
      </c>
      <c r="J753" s="68" t="str">
        <f t="shared" si="2"/>
        <v>4101-81</v>
      </c>
      <c r="K753" s="71" t="str">
        <f>E752</f>
        <v>Piutang Dagang</v>
      </c>
      <c r="L753" s="34" t="str">
        <f t="shared" si="3"/>
        <v>1103</v>
      </c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5.75" customHeight="1">
      <c r="A754" s="204">
        <v>46265.0</v>
      </c>
      <c r="B754" s="205"/>
      <c r="C754" s="206" t="s">
        <v>333</v>
      </c>
      <c r="D754" s="207" t="s">
        <v>36</v>
      </c>
      <c r="E754" s="43" t="str">
        <f>IFERROR(VLOOKUP(D754,'Daftar Akun'!A$6:$B$103,2,FALSE),"")</f>
        <v>Piutang Dagang</v>
      </c>
      <c r="F754" s="208">
        <v>690000.0</v>
      </c>
      <c r="G754" s="208"/>
      <c r="H754" s="34"/>
      <c r="I754" s="68">
        <f t="shared" si="1"/>
        <v>92</v>
      </c>
      <c r="J754" s="68" t="str">
        <f t="shared" si="2"/>
        <v>1103-92</v>
      </c>
      <c r="K754" s="71" t="str">
        <f>E755</f>
        <v>Penjualan</v>
      </c>
      <c r="L754" s="34" t="str">
        <f t="shared" si="3"/>
        <v>4101</v>
      </c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5.75" customHeight="1">
      <c r="A755" s="204">
        <v>46265.0</v>
      </c>
      <c r="B755" s="205"/>
      <c r="C755" s="206" t="s">
        <v>333</v>
      </c>
      <c r="D755" s="207" t="s">
        <v>80</v>
      </c>
      <c r="E755" s="43" t="str">
        <f>IFERROR(VLOOKUP(D755,'Daftar Akun'!A$6:$B$103,2,FALSE),"")</f>
        <v>Penjualan</v>
      </c>
      <c r="F755" s="209"/>
      <c r="G755" s="208">
        <v>690000.0</v>
      </c>
      <c r="H755" s="34"/>
      <c r="I755" s="68">
        <f t="shared" si="1"/>
        <v>82</v>
      </c>
      <c r="J755" s="68" t="str">
        <f t="shared" si="2"/>
        <v>4101-82</v>
      </c>
      <c r="K755" s="71" t="str">
        <f>E754</f>
        <v>Piutang Dagang</v>
      </c>
      <c r="L755" s="34" t="str">
        <f t="shared" si="3"/>
        <v>1103</v>
      </c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5.75" customHeight="1">
      <c r="A756" s="204">
        <v>46265.0</v>
      </c>
      <c r="B756" s="205"/>
      <c r="C756" s="206" t="s">
        <v>642</v>
      </c>
      <c r="D756" s="207" t="s">
        <v>18</v>
      </c>
      <c r="E756" s="43" t="str">
        <f>IFERROR(VLOOKUP(D756,'Daftar Akun'!A$6:$B$103,2,FALSE),"")</f>
        <v>Kas</v>
      </c>
      <c r="F756" s="208">
        <v>5000000.0</v>
      </c>
      <c r="G756" s="208"/>
      <c r="H756" s="34"/>
      <c r="I756" s="68">
        <f t="shared" si="1"/>
        <v>129</v>
      </c>
      <c r="J756" s="68" t="str">
        <f t="shared" si="2"/>
        <v>1101-129</v>
      </c>
      <c r="K756" s="71" t="str">
        <f>E757</f>
        <v>Uang Muka Pembelian Petani</v>
      </c>
      <c r="L756" s="34" t="str">
        <f t="shared" si="3"/>
        <v>1110</v>
      </c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5.75" customHeight="1">
      <c r="A757" s="204">
        <v>46265.0</v>
      </c>
      <c r="B757" s="205"/>
      <c r="C757" s="206" t="s">
        <v>642</v>
      </c>
      <c r="D757" s="207" t="s">
        <v>60</v>
      </c>
      <c r="E757" s="43" t="str">
        <f>IFERROR(VLOOKUP(D757,'Daftar Akun'!A$6:$B$103,2,FALSE),"")</f>
        <v>Uang Muka Pembelian Petani</v>
      </c>
      <c r="F757" s="209"/>
      <c r="G757" s="208">
        <v>5000000.0</v>
      </c>
      <c r="H757" s="34"/>
      <c r="I757" s="68">
        <f t="shared" si="1"/>
        <v>5</v>
      </c>
      <c r="J757" s="68" t="str">
        <f t="shared" si="2"/>
        <v>1110-5</v>
      </c>
      <c r="K757" s="71" t="str">
        <f>E756</f>
        <v>Kas</v>
      </c>
      <c r="L757" s="34" t="str">
        <f t="shared" si="3"/>
        <v>1101</v>
      </c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5.75" customHeight="1">
      <c r="A758" s="204">
        <v>46265.0</v>
      </c>
      <c r="B758" s="205"/>
      <c r="C758" s="206" t="s">
        <v>643</v>
      </c>
      <c r="D758" s="207" t="s">
        <v>105</v>
      </c>
      <c r="E758" s="43" t="str">
        <f>IFERROR(VLOOKUP(D758,'Daftar Akun'!A$6:$B$103,2,FALSE),"")</f>
        <v>Beban Gaji</v>
      </c>
      <c r="F758" s="208">
        <v>4000000.0</v>
      </c>
      <c r="G758" s="208"/>
      <c r="H758" s="34"/>
      <c r="I758" s="68">
        <f t="shared" si="1"/>
        <v>13</v>
      </c>
      <c r="J758" s="68" t="str">
        <f t="shared" si="2"/>
        <v>6101-13</v>
      </c>
      <c r="K758" s="71" t="str">
        <f>E759</f>
        <v>Bank</v>
      </c>
      <c r="L758" s="34" t="str">
        <f t="shared" si="3"/>
        <v>1102</v>
      </c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5.75" customHeight="1">
      <c r="A759" s="204">
        <v>46265.0</v>
      </c>
      <c r="B759" s="205"/>
      <c r="C759" s="206" t="s">
        <v>643</v>
      </c>
      <c r="D759" s="207" t="s">
        <v>33</v>
      </c>
      <c r="E759" s="43" t="str">
        <f>IFERROR(VLOOKUP(D759,'Daftar Akun'!A$6:$B$103,2,FALSE),"")</f>
        <v>Bank</v>
      </c>
      <c r="F759" s="209"/>
      <c r="G759" s="208">
        <v>4000000.0</v>
      </c>
      <c r="H759" s="34"/>
      <c r="I759" s="68">
        <f t="shared" si="1"/>
        <v>163</v>
      </c>
      <c r="J759" s="68" t="str">
        <f t="shared" si="2"/>
        <v>1102-163</v>
      </c>
      <c r="K759" s="71" t="str">
        <f>E758</f>
        <v>Beban Gaji</v>
      </c>
      <c r="L759" s="34" t="str">
        <f t="shared" si="3"/>
        <v>6101</v>
      </c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5.75" customHeight="1">
      <c r="A760" s="204">
        <v>46265.0</v>
      </c>
      <c r="B760" s="205"/>
      <c r="C760" s="206" t="s">
        <v>644</v>
      </c>
      <c r="D760" s="207" t="s">
        <v>105</v>
      </c>
      <c r="E760" s="43" t="str">
        <f>IFERROR(VLOOKUP(D760,'Daftar Akun'!A$6:$B$103,2,FALSE),"")</f>
        <v>Beban Gaji</v>
      </c>
      <c r="F760" s="208">
        <v>150000.0</v>
      </c>
      <c r="G760" s="208"/>
      <c r="H760" s="34"/>
      <c r="I760" s="68">
        <f t="shared" si="1"/>
        <v>14</v>
      </c>
      <c r="J760" s="68" t="str">
        <f t="shared" si="2"/>
        <v>6101-14</v>
      </c>
      <c r="K760" s="71" t="str">
        <f>E761</f>
        <v>Bank</v>
      </c>
      <c r="L760" s="34" t="str">
        <f t="shared" si="3"/>
        <v>1102</v>
      </c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5.75" customHeight="1">
      <c r="A761" s="204">
        <v>46265.0</v>
      </c>
      <c r="B761" s="205"/>
      <c r="C761" s="206" t="s">
        <v>644</v>
      </c>
      <c r="D761" s="207" t="s">
        <v>33</v>
      </c>
      <c r="E761" s="43" t="str">
        <f>IFERROR(VLOOKUP(D761,'Daftar Akun'!A$6:$B$103,2,FALSE),"")</f>
        <v>Bank</v>
      </c>
      <c r="F761" s="209"/>
      <c r="G761" s="208">
        <v>150000.0</v>
      </c>
      <c r="H761" s="34"/>
      <c r="I761" s="68">
        <f t="shared" si="1"/>
        <v>164</v>
      </c>
      <c r="J761" s="68" t="str">
        <f t="shared" si="2"/>
        <v>1102-164</v>
      </c>
      <c r="K761" s="71" t="str">
        <f>E760</f>
        <v>Beban Gaji</v>
      </c>
      <c r="L761" s="34" t="str">
        <f t="shared" si="3"/>
        <v>6101</v>
      </c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5.75" customHeight="1">
      <c r="A762" s="204">
        <v>46265.0</v>
      </c>
      <c r="B762" s="205"/>
      <c r="C762" s="206" t="s">
        <v>645</v>
      </c>
      <c r="D762" s="207" t="s">
        <v>105</v>
      </c>
      <c r="E762" s="43" t="str">
        <f>IFERROR(VLOOKUP(D762,'Daftar Akun'!A$6:$B$103,2,FALSE),"")</f>
        <v>Beban Gaji</v>
      </c>
      <c r="F762" s="208">
        <v>500000.0</v>
      </c>
      <c r="G762" s="208"/>
      <c r="H762" s="34"/>
      <c r="I762" s="68">
        <f t="shared" si="1"/>
        <v>15</v>
      </c>
      <c r="J762" s="68" t="str">
        <f t="shared" si="2"/>
        <v>6101-15</v>
      </c>
      <c r="K762" s="71" t="str">
        <f>E763</f>
        <v>Bank</v>
      </c>
      <c r="L762" s="34" t="str">
        <f t="shared" si="3"/>
        <v>1102</v>
      </c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5.75" customHeight="1">
      <c r="A763" s="204">
        <v>46265.0</v>
      </c>
      <c r="B763" s="205"/>
      <c r="C763" s="206" t="s">
        <v>645</v>
      </c>
      <c r="D763" s="207" t="s">
        <v>33</v>
      </c>
      <c r="E763" s="43" t="str">
        <f>IFERROR(VLOOKUP(D763,'Daftar Akun'!A$6:$B$103,2,FALSE),"")</f>
        <v>Bank</v>
      </c>
      <c r="F763" s="209"/>
      <c r="G763" s="208">
        <v>500000.0</v>
      </c>
      <c r="H763" s="34"/>
      <c r="I763" s="68">
        <f t="shared" si="1"/>
        <v>165</v>
      </c>
      <c r="J763" s="68" t="str">
        <f t="shared" si="2"/>
        <v>1102-165</v>
      </c>
      <c r="K763" s="71" t="str">
        <f>E762</f>
        <v>Beban Gaji</v>
      </c>
      <c r="L763" s="34" t="str">
        <f t="shared" si="3"/>
        <v>6101</v>
      </c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5.75" customHeight="1">
      <c r="A764" s="204">
        <v>46265.0</v>
      </c>
      <c r="B764" s="205"/>
      <c r="C764" s="206" t="s">
        <v>646</v>
      </c>
      <c r="D764" s="207" t="s">
        <v>33</v>
      </c>
      <c r="E764" s="43" t="str">
        <f>IFERROR(VLOOKUP(D764,'Daftar Akun'!A$6:$B$103,2,FALSE),"")</f>
        <v>Bank</v>
      </c>
      <c r="F764" s="208">
        <v>224000.0</v>
      </c>
      <c r="G764" s="208"/>
      <c r="H764" s="34"/>
      <c r="I764" s="68">
        <f t="shared" si="1"/>
        <v>166</v>
      </c>
      <c r="J764" s="68" t="str">
        <f t="shared" si="2"/>
        <v>1102-166</v>
      </c>
      <c r="K764" s="71" t="str">
        <f>E765</f>
        <v>Piutang Dagang</v>
      </c>
      <c r="L764" s="34" t="str">
        <f t="shared" si="3"/>
        <v>1103</v>
      </c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5.75" customHeight="1">
      <c r="A765" s="204">
        <v>46265.0</v>
      </c>
      <c r="B765" s="205"/>
      <c r="C765" s="206" t="s">
        <v>646</v>
      </c>
      <c r="D765" s="207" t="s">
        <v>36</v>
      </c>
      <c r="E765" s="43" t="str">
        <f>IFERROR(VLOOKUP(D765,'Daftar Akun'!A$6:$B$103,2,FALSE),"")</f>
        <v>Piutang Dagang</v>
      </c>
      <c r="F765" s="209"/>
      <c r="G765" s="208">
        <v>224000.0</v>
      </c>
      <c r="H765" s="34"/>
      <c r="I765" s="68">
        <f t="shared" si="1"/>
        <v>93</v>
      </c>
      <c r="J765" s="68" t="str">
        <f t="shared" si="2"/>
        <v>1103-93</v>
      </c>
      <c r="K765" s="71" t="str">
        <f>E764</f>
        <v>Bank</v>
      </c>
      <c r="L765" s="34" t="str">
        <f t="shared" si="3"/>
        <v>1102</v>
      </c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5.75" customHeight="1">
      <c r="A766" s="204">
        <v>46265.0</v>
      </c>
      <c r="B766" s="205"/>
      <c r="C766" s="206" t="s">
        <v>647</v>
      </c>
      <c r="D766" s="207" t="s">
        <v>33</v>
      </c>
      <c r="E766" s="43" t="str">
        <f>IFERROR(VLOOKUP(D766,'Daftar Akun'!A$6:$B$103,2,FALSE),"")</f>
        <v>Bank</v>
      </c>
      <c r="F766" s="208">
        <v>1435000.0</v>
      </c>
      <c r="G766" s="208"/>
      <c r="H766" s="34"/>
      <c r="I766" s="68">
        <f t="shared" si="1"/>
        <v>167</v>
      </c>
      <c r="J766" s="68" t="str">
        <f t="shared" si="2"/>
        <v>1102-167</v>
      </c>
      <c r="K766" s="71" t="str">
        <f>E767</f>
        <v>Piutang Dagang</v>
      </c>
      <c r="L766" s="34" t="str">
        <f t="shared" si="3"/>
        <v>1103</v>
      </c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5.75" customHeight="1">
      <c r="A767" s="204">
        <v>46265.0</v>
      </c>
      <c r="B767" s="205"/>
      <c r="C767" s="206" t="s">
        <v>647</v>
      </c>
      <c r="D767" s="207" t="s">
        <v>36</v>
      </c>
      <c r="E767" s="43" t="str">
        <f>IFERROR(VLOOKUP(D767,'Daftar Akun'!A$6:$B$103,2,FALSE),"")</f>
        <v>Piutang Dagang</v>
      </c>
      <c r="F767" s="209"/>
      <c r="G767" s="208">
        <v>1435000.0</v>
      </c>
      <c r="H767" s="34"/>
      <c r="I767" s="68">
        <f t="shared" si="1"/>
        <v>94</v>
      </c>
      <c r="J767" s="68" t="str">
        <f t="shared" si="2"/>
        <v>1103-94</v>
      </c>
      <c r="K767" s="71" t="str">
        <f>E766</f>
        <v>Bank</v>
      </c>
      <c r="L767" s="34" t="str">
        <f t="shared" si="3"/>
        <v>1102</v>
      </c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5.75" customHeight="1">
      <c r="A768" s="204">
        <v>46265.0</v>
      </c>
      <c r="B768" s="205"/>
      <c r="C768" s="206" t="s">
        <v>648</v>
      </c>
      <c r="D768" s="207" t="s">
        <v>33</v>
      </c>
      <c r="E768" s="43" t="str">
        <f>IFERROR(VLOOKUP(D768,'Daftar Akun'!A$6:$B$103,2,FALSE),"")</f>
        <v>Bank</v>
      </c>
      <c r="F768" s="208">
        <v>2100000.0</v>
      </c>
      <c r="G768" s="208"/>
      <c r="H768" s="34"/>
      <c r="I768" s="68">
        <f t="shared" si="1"/>
        <v>168</v>
      </c>
      <c r="J768" s="68" t="str">
        <f t="shared" si="2"/>
        <v>1102-168</v>
      </c>
      <c r="K768" s="71" t="str">
        <f>E769</f>
        <v>Uang Muka Pembelian Petani</v>
      </c>
      <c r="L768" s="34" t="str">
        <f t="shared" si="3"/>
        <v>1110</v>
      </c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5.75" customHeight="1">
      <c r="A769" s="204">
        <v>46265.0</v>
      </c>
      <c r="B769" s="205"/>
      <c r="C769" s="206" t="s">
        <v>648</v>
      </c>
      <c r="D769" s="207" t="s">
        <v>60</v>
      </c>
      <c r="E769" s="43" t="str">
        <f>IFERROR(VLOOKUP(D769,'Daftar Akun'!A$6:$B$103,2,FALSE),"")</f>
        <v>Uang Muka Pembelian Petani</v>
      </c>
      <c r="F769" s="209"/>
      <c r="G769" s="208">
        <v>2100000.0</v>
      </c>
      <c r="H769" s="34"/>
      <c r="I769" s="68">
        <f t="shared" si="1"/>
        <v>6</v>
      </c>
      <c r="J769" s="68" t="str">
        <f t="shared" si="2"/>
        <v>1110-6</v>
      </c>
      <c r="K769" s="71" t="str">
        <f>E768</f>
        <v>Bank</v>
      </c>
      <c r="L769" s="34" t="str">
        <f t="shared" si="3"/>
        <v>1102</v>
      </c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5.75" customHeight="1">
      <c r="A770" s="204">
        <v>46265.0</v>
      </c>
      <c r="B770" s="205"/>
      <c r="C770" s="206" t="s">
        <v>649</v>
      </c>
      <c r="D770" s="207" t="s">
        <v>33</v>
      </c>
      <c r="E770" s="43" t="str">
        <f>IFERROR(VLOOKUP(D770,'Daftar Akun'!A$6:$B$103,2,FALSE),"")</f>
        <v>Bank</v>
      </c>
      <c r="F770" s="208">
        <v>198000.0</v>
      </c>
      <c r="G770" s="208"/>
      <c r="H770" s="34"/>
      <c r="I770" s="68">
        <f t="shared" si="1"/>
        <v>169</v>
      </c>
      <c r="J770" s="68" t="str">
        <f t="shared" si="2"/>
        <v>1102-169</v>
      </c>
      <c r="K770" s="71" t="str">
        <f>E771</f>
        <v>Piutang Dagang</v>
      </c>
      <c r="L770" s="34" t="str">
        <f t="shared" si="3"/>
        <v>1103</v>
      </c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5.75" customHeight="1">
      <c r="A771" s="204">
        <v>46265.0</v>
      </c>
      <c r="B771" s="205"/>
      <c r="C771" s="206" t="s">
        <v>649</v>
      </c>
      <c r="D771" s="207" t="s">
        <v>36</v>
      </c>
      <c r="E771" s="43" t="str">
        <f>IFERROR(VLOOKUP(D771,'Daftar Akun'!A$6:$B$103,2,FALSE),"")</f>
        <v>Piutang Dagang</v>
      </c>
      <c r="F771" s="209"/>
      <c r="G771" s="208">
        <v>198000.0</v>
      </c>
      <c r="H771" s="34"/>
      <c r="I771" s="68">
        <f t="shared" si="1"/>
        <v>95</v>
      </c>
      <c r="J771" s="68" t="str">
        <f t="shared" si="2"/>
        <v>1103-95</v>
      </c>
      <c r="K771" s="71" t="str">
        <f>E770</f>
        <v>Bank</v>
      </c>
      <c r="L771" s="34" t="str">
        <f t="shared" si="3"/>
        <v>1102</v>
      </c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5.75" customHeight="1">
      <c r="A772" s="204">
        <v>46265.0</v>
      </c>
      <c r="B772" s="205"/>
      <c r="C772" s="206" t="s">
        <v>650</v>
      </c>
      <c r="D772" s="207" t="s">
        <v>33</v>
      </c>
      <c r="E772" s="43" t="str">
        <f>IFERROR(VLOOKUP(D772,'Daftar Akun'!A$6:$B$103,2,FALSE),"")</f>
        <v>Bank</v>
      </c>
      <c r="F772" s="208">
        <v>181000.0</v>
      </c>
      <c r="G772" s="208"/>
      <c r="H772" s="34"/>
      <c r="I772" s="68">
        <f t="shared" si="1"/>
        <v>170</v>
      </c>
      <c r="J772" s="68" t="str">
        <f t="shared" si="2"/>
        <v>1102-170</v>
      </c>
      <c r="K772" s="71" t="str">
        <f>E773</f>
        <v>Prive</v>
      </c>
      <c r="L772" s="34" t="str">
        <f t="shared" si="3"/>
        <v>3102</v>
      </c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5.75" customHeight="1">
      <c r="A773" s="204">
        <v>46265.0</v>
      </c>
      <c r="B773" s="205"/>
      <c r="C773" s="206" t="s">
        <v>650</v>
      </c>
      <c r="D773" s="207" t="s">
        <v>77</v>
      </c>
      <c r="E773" s="43" t="str">
        <f>IFERROR(VLOOKUP(D773,'Daftar Akun'!A$6:$B$103,2,FALSE),"")</f>
        <v>Prive</v>
      </c>
      <c r="F773" s="209"/>
      <c r="G773" s="208">
        <v>181000.0</v>
      </c>
      <c r="H773" s="34"/>
      <c r="I773" s="68">
        <f t="shared" si="1"/>
        <v>8</v>
      </c>
      <c r="J773" s="68" t="str">
        <f t="shared" si="2"/>
        <v>3102-8</v>
      </c>
      <c r="K773" s="71" t="str">
        <f>E772</f>
        <v>Bank</v>
      </c>
      <c r="L773" s="34" t="str">
        <f t="shared" si="3"/>
        <v>1102</v>
      </c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5.75" customHeight="1">
      <c r="A774" s="204">
        <v>46265.0</v>
      </c>
      <c r="B774" s="205"/>
      <c r="C774" s="206" t="s">
        <v>651</v>
      </c>
      <c r="D774" s="207" t="s">
        <v>93</v>
      </c>
      <c r="E774" s="43" t="str">
        <f>IFERROR(VLOOKUP(D774,'Daftar Akun'!A$6:$B$103,2,FALSE),"")</f>
        <v>Pembelian Bunga</v>
      </c>
      <c r="F774" s="208">
        <v>2975000.0</v>
      </c>
      <c r="G774" s="208"/>
      <c r="H774" s="34"/>
      <c r="I774" s="68">
        <f t="shared" si="1"/>
        <v>120</v>
      </c>
      <c r="J774" s="68" t="str">
        <f t="shared" si="2"/>
        <v>5101-120</v>
      </c>
      <c r="K774" s="71" t="str">
        <f>E775</f>
        <v>Kas</v>
      </c>
      <c r="L774" s="34" t="str">
        <f t="shared" si="3"/>
        <v>1101</v>
      </c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5.75" customHeight="1">
      <c r="A775" s="204">
        <v>46265.0</v>
      </c>
      <c r="B775" s="205"/>
      <c r="C775" s="206" t="s">
        <v>651</v>
      </c>
      <c r="D775" s="207" t="s">
        <v>18</v>
      </c>
      <c r="E775" s="43" t="str">
        <f>IFERROR(VLOOKUP(D775,'Daftar Akun'!A$6:$B$103,2,FALSE),"")</f>
        <v>Kas</v>
      </c>
      <c r="F775" s="209"/>
      <c r="G775" s="208">
        <v>2975000.0</v>
      </c>
      <c r="H775" s="34"/>
      <c r="I775" s="68">
        <f t="shared" si="1"/>
        <v>130</v>
      </c>
      <c r="J775" s="68" t="str">
        <f t="shared" si="2"/>
        <v>1101-130</v>
      </c>
      <c r="K775" s="71" t="str">
        <f>E774</f>
        <v>Pembelian Bunga</v>
      </c>
      <c r="L775" s="34" t="str">
        <f t="shared" si="3"/>
        <v>5101</v>
      </c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5.75" customHeight="1">
      <c r="A776" s="204">
        <v>46265.0</v>
      </c>
      <c r="B776" s="205"/>
      <c r="C776" s="206" t="s">
        <v>652</v>
      </c>
      <c r="D776" s="207" t="s">
        <v>121</v>
      </c>
      <c r="E776" s="43" t="str">
        <f>IFERROR(VLOOKUP(D776,'Daftar Akun'!A$6:$B$103,2,FALSE),"")</f>
        <v>Beban Lain-Lain</v>
      </c>
      <c r="F776" s="208">
        <v>1040000.0</v>
      </c>
      <c r="G776" s="208"/>
      <c r="H776" s="34"/>
      <c r="I776" s="68">
        <f t="shared" si="1"/>
        <v>25</v>
      </c>
      <c r="J776" s="68" t="str">
        <f t="shared" si="2"/>
        <v>6108-25</v>
      </c>
      <c r="K776" s="71" t="str">
        <f>E777</f>
        <v>Bank</v>
      </c>
      <c r="L776" s="34" t="str">
        <f t="shared" si="3"/>
        <v>1102</v>
      </c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5.75" customHeight="1">
      <c r="A777" s="204">
        <v>46265.0</v>
      </c>
      <c r="B777" s="205"/>
      <c r="C777" s="206" t="s">
        <v>652</v>
      </c>
      <c r="D777" s="207" t="s">
        <v>33</v>
      </c>
      <c r="E777" s="43" t="str">
        <f>IFERROR(VLOOKUP(D777,'Daftar Akun'!A$6:$B$103,2,FALSE),"")</f>
        <v>Bank</v>
      </c>
      <c r="F777" s="209"/>
      <c r="G777" s="208">
        <v>1040000.0</v>
      </c>
      <c r="H777" s="34"/>
      <c r="I777" s="68">
        <f t="shared" si="1"/>
        <v>171</v>
      </c>
      <c r="J777" s="68" t="str">
        <f t="shared" si="2"/>
        <v>1102-171</v>
      </c>
      <c r="K777" s="71" t="str">
        <f>E776</f>
        <v>Beban Lain-Lain</v>
      </c>
      <c r="L777" s="34" t="str">
        <f t="shared" si="3"/>
        <v>6108</v>
      </c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5.75" customHeight="1">
      <c r="A778" s="204"/>
      <c r="B778" s="205"/>
      <c r="C778" s="206"/>
      <c r="D778" s="207"/>
      <c r="E778" s="43" t="str">
        <f>IFERROR(VLOOKUP(D778,'Daftar Akun'!A$6:$B$103,2,FALSE),"")</f>
        <v/>
      </c>
      <c r="F778" s="209"/>
      <c r="G778" s="208"/>
      <c r="H778" s="34"/>
      <c r="I778" s="68" t="str">
        <f t="shared" si="1"/>
        <v/>
      </c>
      <c r="J778" s="68" t="str">
        <f t="shared" si="2"/>
        <v/>
      </c>
      <c r="K778" s="71" t="str">
        <f>E779</f>
        <v/>
      </c>
      <c r="L778" s="34" t="str">
        <f t="shared" si="3"/>
        <v/>
      </c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5.75" customHeight="1">
      <c r="A779" s="204"/>
      <c r="B779" s="205"/>
      <c r="C779" s="206"/>
      <c r="D779" s="207"/>
      <c r="E779" s="43" t="str">
        <f>IFERROR(VLOOKUP(D779,'Daftar Akun'!A$6:$B$103,2,FALSE),"")</f>
        <v/>
      </c>
      <c r="F779" s="209"/>
      <c r="G779" s="208"/>
      <c r="H779" s="34"/>
      <c r="I779" s="68" t="str">
        <f t="shared" si="1"/>
        <v/>
      </c>
      <c r="J779" s="68" t="str">
        <f t="shared" si="2"/>
        <v/>
      </c>
      <c r="K779" s="71" t="str">
        <f>E778</f>
        <v/>
      </c>
      <c r="L779" s="34" t="str">
        <f t="shared" si="3"/>
        <v/>
      </c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5.75" customHeight="1">
      <c r="A780" s="204"/>
      <c r="B780" s="205"/>
      <c r="C780" s="206"/>
      <c r="D780" s="207"/>
      <c r="E780" s="43" t="str">
        <f>IFERROR(VLOOKUP(D780,'Daftar Akun'!A$6:$B$103,2,FALSE),"")</f>
        <v/>
      </c>
      <c r="F780" s="209"/>
      <c r="G780" s="208"/>
      <c r="H780" s="34"/>
      <c r="I780" s="68" t="str">
        <f t="shared" si="1"/>
        <v/>
      </c>
      <c r="J780" s="68" t="str">
        <f t="shared" si="2"/>
        <v/>
      </c>
      <c r="K780" s="71" t="str">
        <f>E781</f>
        <v/>
      </c>
      <c r="L780" s="34" t="str">
        <f t="shared" si="3"/>
        <v/>
      </c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5.75" customHeight="1">
      <c r="A781" s="204"/>
      <c r="B781" s="205"/>
      <c r="C781" s="206"/>
      <c r="D781" s="207"/>
      <c r="E781" s="43" t="str">
        <f>IFERROR(VLOOKUP(D781,'Daftar Akun'!A$6:$B$103,2,FALSE),"")</f>
        <v/>
      </c>
      <c r="F781" s="209"/>
      <c r="G781" s="208"/>
      <c r="H781" s="34"/>
      <c r="I781" s="68" t="str">
        <f t="shared" si="1"/>
        <v/>
      </c>
      <c r="J781" s="68" t="str">
        <f t="shared" si="2"/>
        <v/>
      </c>
      <c r="K781" s="71" t="str">
        <f>E780</f>
        <v/>
      </c>
      <c r="L781" s="34" t="str">
        <f t="shared" si="3"/>
        <v/>
      </c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5.75" customHeight="1">
      <c r="A782" s="204"/>
      <c r="B782" s="205"/>
      <c r="C782" s="206"/>
      <c r="D782" s="207"/>
      <c r="E782" s="43" t="str">
        <f>IFERROR(VLOOKUP(D782,'Daftar Akun'!A$6:$B$103,2,FALSE),"")</f>
        <v/>
      </c>
      <c r="F782" s="209"/>
      <c r="G782" s="208"/>
      <c r="H782" s="34"/>
      <c r="I782" s="68" t="str">
        <f t="shared" si="1"/>
        <v/>
      </c>
      <c r="J782" s="68" t="str">
        <f t="shared" si="2"/>
        <v/>
      </c>
      <c r="K782" s="71" t="str">
        <f>E783</f>
        <v/>
      </c>
      <c r="L782" s="34" t="str">
        <f t="shared" si="3"/>
        <v/>
      </c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5.75" customHeight="1">
      <c r="A783" s="204"/>
      <c r="B783" s="205"/>
      <c r="C783" s="206"/>
      <c r="D783" s="207"/>
      <c r="E783" s="43" t="str">
        <f>IFERROR(VLOOKUP(D783,'Daftar Akun'!A$6:$B$103,2,FALSE),"")</f>
        <v/>
      </c>
      <c r="F783" s="209"/>
      <c r="G783" s="208"/>
      <c r="H783" s="34"/>
      <c r="I783" s="68" t="str">
        <f t="shared" si="1"/>
        <v/>
      </c>
      <c r="J783" s="68" t="str">
        <f t="shared" si="2"/>
        <v/>
      </c>
      <c r="K783" s="71" t="str">
        <f>E782</f>
        <v/>
      </c>
      <c r="L783" s="34" t="str">
        <f t="shared" si="3"/>
        <v/>
      </c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5.75" customHeight="1">
      <c r="A784" s="204"/>
      <c r="B784" s="205"/>
      <c r="C784" s="206"/>
      <c r="D784" s="207"/>
      <c r="E784" s="43" t="str">
        <f>IFERROR(VLOOKUP(D784,'Daftar Akun'!A$6:$B$103,2,FALSE),"")</f>
        <v/>
      </c>
      <c r="F784" s="209"/>
      <c r="G784" s="208"/>
      <c r="H784" s="34"/>
      <c r="I784" s="68" t="str">
        <f t="shared" si="1"/>
        <v/>
      </c>
      <c r="J784" s="68" t="str">
        <f t="shared" si="2"/>
        <v/>
      </c>
      <c r="K784" s="71" t="str">
        <f>E785</f>
        <v/>
      </c>
      <c r="L784" s="34" t="str">
        <f t="shared" si="3"/>
        <v/>
      </c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5.75" customHeight="1">
      <c r="A785" s="204"/>
      <c r="B785" s="205"/>
      <c r="C785" s="206"/>
      <c r="D785" s="207"/>
      <c r="E785" s="43" t="str">
        <f>IFERROR(VLOOKUP(D785,'Daftar Akun'!A$6:$B$103,2,FALSE),"")</f>
        <v/>
      </c>
      <c r="F785" s="209"/>
      <c r="G785" s="208"/>
      <c r="H785" s="34"/>
      <c r="I785" s="68" t="str">
        <f t="shared" si="1"/>
        <v/>
      </c>
      <c r="J785" s="68" t="str">
        <f t="shared" si="2"/>
        <v/>
      </c>
      <c r="K785" s="71" t="str">
        <f>E784</f>
        <v/>
      </c>
      <c r="L785" s="34" t="str">
        <f t="shared" si="3"/>
        <v/>
      </c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5.75" customHeight="1">
      <c r="A786" s="204"/>
      <c r="B786" s="205"/>
      <c r="C786" s="206"/>
      <c r="D786" s="207"/>
      <c r="E786" s="43" t="str">
        <f>IFERROR(VLOOKUP(D786,'Daftar Akun'!A$6:$B$103,2,FALSE),"")</f>
        <v/>
      </c>
      <c r="F786" s="209"/>
      <c r="G786" s="208"/>
      <c r="H786" s="34"/>
      <c r="I786" s="68" t="str">
        <f t="shared" si="1"/>
        <v/>
      </c>
      <c r="J786" s="68" t="str">
        <f t="shared" si="2"/>
        <v/>
      </c>
      <c r="K786" s="71" t="str">
        <f>E787</f>
        <v/>
      </c>
      <c r="L786" s="34" t="str">
        <f t="shared" si="3"/>
        <v/>
      </c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5.75" customHeight="1">
      <c r="A787" s="204"/>
      <c r="B787" s="205"/>
      <c r="C787" s="206"/>
      <c r="D787" s="207"/>
      <c r="E787" s="43" t="str">
        <f>IFERROR(VLOOKUP(D787,'Daftar Akun'!A$6:$B$103,2,FALSE),"")</f>
        <v/>
      </c>
      <c r="F787" s="209"/>
      <c r="G787" s="208"/>
      <c r="H787" s="34"/>
      <c r="I787" s="68" t="str">
        <f t="shared" si="1"/>
        <v/>
      </c>
      <c r="J787" s="68" t="str">
        <f t="shared" si="2"/>
        <v/>
      </c>
      <c r="K787" s="71" t="str">
        <f>E786</f>
        <v/>
      </c>
      <c r="L787" s="34" t="str">
        <f t="shared" si="3"/>
        <v/>
      </c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5.75" customHeight="1">
      <c r="A788" s="204"/>
      <c r="B788" s="205"/>
      <c r="C788" s="206"/>
      <c r="D788" s="207"/>
      <c r="E788" s="43" t="str">
        <f>IFERROR(VLOOKUP(D788,'Daftar Akun'!A$6:$B$103,2,FALSE),"")</f>
        <v/>
      </c>
      <c r="F788" s="209"/>
      <c r="G788" s="208"/>
      <c r="H788" s="34"/>
      <c r="I788" s="68" t="str">
        <f t="shared" si="1"/>
        <v/>
      </c>
      <c r="J788" s="68" t="str">
        <f t="shared" si="2"/>
        <v/>
      </c>
      <c r="K788" s="71" t="str">
        <f>E789</f>
        <v/>
      </c>
      <c r="L788" s="34" t="str">
        <f t="shared" si="3"/>
        <v/>
      </c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5.75" customHeight="1">
      <c r="A789" s="204"/>
      <c r="B789" s="205"/>
      <c r="C789" s="206"/>
      <c r="D789" s="207"/>
      <c r="E789" s="43" t="str">
        <f>IFERROR(VLOOKUP(D789,'Daftar Akun'!A$6:$B$103,2,FALSE),"")</f>
        <v/>
      </c>
      <c r="F789" s="209"/>
      <c r="G789" s="208"/>
      <c r="H789" s="34"/>
      <c r="I789" s="68" t="str">
        <f t="shared" si="1"/>
        <v/>
      </c>
      <c r="J789" s="68" t="str">
        <f t="shared" si="2"/>
        <v/>
      </c>
      <c r="K789" s="71" t="str">
        <f>E788</f>
        <v/>
      </c>
      <c r="L789" s="34" t="str">
        <f t="shared" si="3"/>
        <v/>
      </c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5.75" customHeight="1">
      <c r="A790" s="204"/>
      <c r="B790" s="205"/>
      <c r="C790" s="206"/>
      <c r="D790" s="207"/>
      <c r="E790" s="43" t="str">
        <f>IFERROR(VLOOKUP(D790,'Daftar Akun'!A$6:$B$103,2,FALSE),"")</f>
        <v/>
      </c>
      <c r="F790" s="209"/>
      <c r="G790" s="208"/>
      <c r="H790" s="34"/>
      <c r="I790" s="68" t="str">
        <f t="shared" si="1"/>
        <v/>
      </c>
      <c r="J790" s="68" t="str">
        <f t="shared" si="2"/>
        <v/>
      </c>
      <c r="K790" s="71" t="str">
        <f>E791</f>
        <v/>
      </c>
      <c r="L790" s="34" t="str">
        <f t="shared" si="3"/>
        <v/>
      </c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5.75" customHeight="1">
      <c r="A791" s="204"/>
      <c r="B791" s="205"/>
      <c r="C791" s="206"/>
      <c r="D791" s="207"/>
      <c r="E791" s="43" t="str">
        <f>IFERROR(VLOOKUP(D791,'Daftar Akun'!A$6:$B$103,2,FALSE),"")</f>
        <v/>
      </c>
      <c r="F791" s="209"/>
      <c r="G791" s="208"/>
      <c r="H791" s="34"/>
      <c r="I791" s="68" t="str">
        <f t="shared" si="1"/>
        <v/>
      </c>
      <c r="J791" s="68" t="str">
        <f t="shared" si="2"/>
        <v/>
      </c>
      <c r="K791" s="71" t="str">
        <f>E790</f>
        <v/>
      </c>
      <c r="L791" s="34" t="str">
        <f t="shared" si="3"/>
        <v/>
      </c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5.75" customHeight="1">
      <c r="A792" s="204"/>
      <c r="B792" s="205"/>
      <c r="C792" s="206"/>
      <c r="D792" s="207"/>
      <c r="E792" s="43" t="str">
        <f>IFERROR(VLOOKUP(D792,'Daftar Akun'!A$6:$B$103,2,FALSE),"")</f>
        <v/>
      </c>
      <c r="F792" s="209"/>
      <c r="G792" s="208"/>
      <c r="H792" s="34"/>
      <c r="I792" s="68" t="str">
        <f t="shared" si="1"/>
        <v/>
      </c>
      <c r="J792" s="68" t="str">
        <f t="shared" si="2"/>
        <v/>
      </c>
      <c r="K792" s="71" t="str">
        <f>E793</f>
        <v/>
      </c>
      <c r="L792" s="34" t="str">
        <f t="shared" si="3"/>
        <v/>
      </c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5.75" customHeight="1">
      <c r="A793" s="204"/>
      <c r="B793" s="205"/>
      <c r="C793" s="206"/>
      <c r="D793" s="207"/>
      <c r="E793" s="43" t="str">
        <f>IFERROR(VLOOKUP(D793,'Daftar Akun'!A$6:$B$103,2,FALSE),"")</f>
        <v/>
      </c>
      <c r="F793" s="209"/>
      <c r="G793" s="208"/>
      <c r="H793" s="34"/>
      <c r="I793" s="68" t="str">
        <f t="shared" si="1"/>
        <v/>
      </c>
      <c r="J793" s="68" t="str">
        <f t="shared" si="2"/>
        <v/>
      </c>
      <c r="K793" s="71" t="str">
        <f>E792</f>
        <v/>
      </c>
      <c r="L793" s="34" t="str">
        <f t="shared" si="3"/>
        <v/>
      </c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5.75" customHeight="1">
      <c r="A794" s="204"/>
      <c r="B794" s="205"/>
      <c r="C794" s="206"/>
      <c r="D794" s="207"/>
      <c r="E794" s="43" t="str">
        <f>IFERROR(VLOOKUP(D794,'Daftar Akun'!A$6:$B$103,2,FALSE),"")</f>
        <v/>
      </c>
      <c r="F794" s="209"/>
      <c r="G794" s="208"/>
      <c r="H794" s="34"/>
      <c r="I794" s="68" t="str">
        <f t="shared" si="1"/>
        <v/>
      </c>
      <c r="J794" s="68" t="str">
        <f t="shared" si="2"/>
        <v/>
      </c>
      <c r="K794" s="71" t="str">
        <f>E795</f>
        <v/>
      </c>
      <c r="L794" s="34" t="str">
        <f t="shared" si="3"/>
        <v/>
      </c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5.75" customHeight="1">
      <c r="A795" s="204"/>
      <c r="B795" s="205"/>
      <c r="C795" s="206"/>
      <c r="D795" s="207"/>
      <c r="E795" s="43" t="str">
        <f>IFERROR(VLOOKUP(D795,'Daftar Akun'!A$6:$B$103,2,FALSE),"")</f>
        <v/>
      </c>
      <c r="F795" s="209"/>
      <c r="G795" s="208"/>
      <c r="H795" s="34"/>
      <c r="I795" s="68" t="str">
        <f t="shared" si="1"/>
        <v/>
      </c>
      <c r="J795" s="68" t="str">
        <f t="shared" si="2"/>
        <v/>
      </c>
      <c r="K795" s="71" t="str">
        <f>E794</f>
        <v/>
      </c>
      <c r="L795" s="34" t="str">
        <f t="shared" si="3"/>
        <v/>
      </c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5.75" customHeight="1">
      <c r="A796" s="204"/>
      <c r="B796" s="205"/>
      <c r="C796" s="206"/>
      <c r="D796" s="207"/>
      <c r="E796" s="43" t="str">
        <f>IFERROR(VLOOKUP(D796,'Daftar Akun'!A$6:$B$103,2,FALSE),"")</f>
        <v/>
      </c>
      <c r="F796" s="209"/>
      <c r="G796" s="208"/>
      <c r="H796" s="34"/>
      <c r="I796" s="68" t="str">
        <f t="shared" si="1"/>
        <v/>
      </c>
      <c r="J796" s="68" t="str">
        <f t="shared" si="2"/>
        <v/>
      </c>
      <c r="K796" s="71" t="str">
        <f>E797</f>
        <v/>
      </c>
      <c r="L796" s="34" t="str">
        <f t="shared" si="3"/>
        <v/>
      </c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5.75" customHeight="1">
      <c r="A797" s="204"/>
      <c r="B797" s="205"/>
      <c r="C797" s="206"/>
      <c r="D797" s="207"/>
      <c r="E797" s="43" t="str">
        <f>IFERROR(VLOOKUP(D797,'Daftar Akun'!A$6:$B$103,2,FALSE),"")</f>
        <v/>
      </c>
      <c r="F797" s="209"/>
      <c r="G797" s="208"/>
      <c r="H797" s="34"/>
      <c r="I797" s="68" t="str">
        <f t="shared" si="1"/>
        <v/>
      </c>
      <c r="J797" s="68" t="str">
        <f t="shared" si="2"/>
        <v/>
      </c>
      <c r="K797" s="71" t="str">
        <f>E796</f>
        <v/>
      </c>
      <c r="L797" s="34" t="str">
        <f t="shared" si="3"/>
        <v/>
      </c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5.75" customHeight="1">
      <c r="A798" s="204"/>
      <c r="B798" s="205"/>
      <c r="C798" s="206"/>
      <c r="D798" s="207"/>
      <c r="E798" s="43" t="str">
        <f>IFERROR(VLOOKUP(D798,'Daftar Akun'!A$6:$B$103,2,FALSE),"")</f>
        <v/>
      </c>
      <c r="F798" s="209"/>
      <c r="G798" s="208"/>
      <c r="H798" s="34"/>
      <c r="I798" s="68" t="str">
        <f t="shared" si="1"/>
        <v/>
      </c>
      <c r="J798" s="68" t="str">
        <f t="shared" si="2"/>
        <v/>
      </c>
      <c r="K798" s="71" t="str">
        <f>E799</f>
        <v/>
      </c>
      <c r="L798" s="34" t="str">
        <f t="shared" si="3"/>
        <v/>
      </c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5.75" customHeight="1">
      <c r="A799" s="204"/>
      <c r="B799" s="205"/>
      <c r="C799" s="206"/>
      <c r="D799" s="207"/>
      <c r="E799" s="43" t="str">
        <f>IFERROR(VLOOKUP(D799,'Daftar Akun'!A$6:$B$103,2,FALSE),"")</f>
        <v/>
      </c>
      <c r="F799" s="209"/>
      <c r="G799" s="208"/>
      <c r="H799" s="34"/>
      <c r="I799" s="68" t="str">
        <f t="shared" si="1"/>
        <v/>
      </c>
      <c r="J799" s="68" t="str">
        <f t="shared" si="2"/>
        <v/>
      </c>
      <c r="K799" s="71" t="str">
        <f>E798</f>
        <v/>
      </c>
      <c r="L799" s="34" t="str">
        <f t="shared" si="3"/>
        <v/>
      </c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5.75" customHeight="1">
      <c r="A800" s="204"/>
      <c r="B800" s="205"/>
      <c r="C800" s="206"/>
      <c r="D800" s="207"/>
      <c r="E800" s="43" t="str">
        <f>IFERROR(VLOOKUP(D800,'Daftar Akun'!A$6:$B$103,2,FALSE),"")</f>
        <v/>
      </c>
      <c r="F800" s="209"/>
      <c r="G800" s="208"/>
      <c r="H800" s="34"/>
      <c r="I800" s="68" t="str">
        <f t="shared" si="1"/>
        <v/>
      </c>
      <c r="J800" s="68" t="str">
        <f t="shared" si="2"/>
        <v/>
      </c>
      <c r="K800" s="71" t="str">
        <f>E801</f>
        <v/>
      </c>
      <c r="L800" s="34" t="str">
        <f t="shared" si="3"/>
        <v/>
      </c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5.75" customHeight="1">
      <c r="A801" s="204"/>
      <c r="B801" s="205"/>
      <c r="C801" s="206"/>
      <c r="D801" s="207"/>
      <c r="E801" s="43" t="str">
        <f>IFERROR(VLOOKUP(D801,'Daftar Akun'!A$6:$B$103,2,FALSE),"")</f>
        <v/>
      </c>
      <c r="F801" s="209"/>
      <c r="G801" s="208"/>
      <c r="H801" s="34"/>
      <c r="I801" s="68" t="str">
        <f t="shared" si="1"/>
        <v/>
      </c>
      <c r="J801" s="68" t="str">
        <f t="shared" si="2"/>
        <v/>
      </c>
      <c r="K801" s="71" t="str">
        <f>E800</f>
        <v/>
      </c>
      <c r="L801" s="34" t="str">
        <f t="shared" si="3"/>
        <v/>
      </c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5.75" customHeight="1">
      <c r="A802" s="204"/>
      <c r="B802" s="205"/>
      <c r="C802" s="206"/>
      <c r="D802" s="207"/>
      <c r="E802" s="43" t="str">
        <f>IFERROR(VLOOKUP(D802,'Daftar Akun'!A$6:$B$103,2,FALSE),"")</f>
        <v/>
      </c>
      <c r="F802" s="209"/>
      <c r="G802" s="208"/>
      <c r="H802" s="34"/>
      <c r="I802" s="68" t="str">
        <f t="shared" si="1"/>
        <v/>
      </c>
      <c r="J802" s="68" t="str">
        <f t="shared" si="2"/>
        <v/>
      </c>
      <c r="K802" s="71" t="str">
        <f>E803</f>
        <v/>
      </c>
      <c r="L802" s="34" t="str">
        <f t="shared" si="3"/>
        <v/>
      </c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5.75" customHeight="1">
      <c r="A803" s="204"/>
      <c r="B803" s="205"/>
      <c r="C803" s="206"/>
      <c r="D803" s="207"/>
      <c r="E803" s="43" t="str">
        <f>IFERROR(VLOOKUP(D803,'Daftar Akun'!A$6:$B$103,2,FALSE),"")</f>
        <v/>
      </c>
      <c r="F803" s="209"/>
      <c r="G803" s="208"/>
      <c r="H803" s="34"/>
      <c r="I803" s="68" t="str">
        <f t="shared" si="1"/>
        <v/>
      </c>
      <c r="J803" s="68" t="str">
        <f t="shared" si="2"/>
        <v/>
      </c>
      <c r="K803" s="71" t="str">
        <f>E802</f>
        <v/>
      </c>
      <c r="L803" s="34" t="str">
        <f t="shared" si="3"/>
        <v/>
      </c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5.75" customHeight="1">
      <c r="A804" s="210"/>
      <c r="B804" s="210"/>
      <c r="C804" s="149" t="s">
        <v>653</v>
      </c>
      <c r="D804" s="211"/>
      <c r="E804" s="210"/>
      <c r="F804" s="150">
        <f t="shared" ref="F804:G804" si="4">SUM(F6:F765)</f>
        <v>378048425</v>
      </c>
      <c r="G804" s="150">
        <f t="shared" si="4"/>
        <v>378048425</v>
      </c>
      <c r="H804" s="34"/>
      <c r="I804" s="68" t="str">
        <f t="shared" si="1"/>
        <v/>
      </c>
      <c r="J804" s="68" t="str">
        <f t="shared" si="2"/>
        <v/>
      </c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5.75" customHeight="1">
      <c r="A805" s="34"/>
      <c r="B805" s="34"/>
      <c r="C805" s="34"/>
      <c r="D805" s="212"/>
      <c r="E805" s="34"/>
      <c r="F805" s="213"/>
      <c r="G805" s="213"/>
      <c r="H805" s="34"/>
      <c r="I805" s="68" t="str">
        <f t="shared" si="1"/>
        <v/>
      </c>
      <c r="J805" s="68" t="str">
        <f t="shared" si="2"/>
        <v/>
      </c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5.75" customHeight="1">
      <c r="A806" s="34"/>
      <c r="B806" s="34"/>
      <c r="C806" s="151" t="str">
        <f>IF(F804=G804,"Seimbang (Debit = Kredit)","TIDAK SEIMBANG - cek input!")</f>
        <v>Seimbang (Debit = Kredit)</v>
      </c>
      <c r="D806" s="212"/>
      <c r="E806" s="34"/>
      <c r="F806" s="213"/>
      <c r="G806" s="213"/>
      <c r="H806" s="34"/>
      <c r="I806" s="68" t="str">
        <f t="shared" si="1"/>
        <v/>
      </c>
      <c r="J806" s="68" t="str">
        <f t="shared" si="2"/>
        <v/>
      </c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5.75" customHeight="1">
      <c r="A807" s="34"/>
      <c r="B807" s="34"/>
      <c r="C807" s="34"/>
      <c r="D807" s="212"/>
      <c r="E807" s="34"/>
      <c r="F807" s="213"/>
      <c r="G807" s="213"/>
      <c r="H807" s="34"/>
      <c r="I807" s="68" t="str">
        <f t="shared" si="1"/>
        <v/>
      </c>
      <c r="J807" s="68" t="str">
        <f t="shared" si="2"/>
        <v/>
      </c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5.75" customHeight="1">
      <c r="A808" s="34"/>
      <c r="B808" s="34"/>
      <c r="C808" s="34"/>
      <c r="D808" s="212"/>
      <c r="E808" s="34"/>
      <c r="F808" s="213"/>
      <c r="G808" s="213"/>
      <c r="H808" s="34"/>
      <c r="I808" s="68" t="str">
        <f t="shared" si="1"/>
        <v/>
      </c>
      <c r="J808" s="68" t="str">
        <f t="shared" si="2"/>
        <v/>
      </c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5.75" customHeight="1">
      <c r="A809" s="34"/>
      <c r="B809" s="34"/>
      <c r="C809" s="34"/>
      <c r="D809" s="212"/>
      <c r="E809" s="34"/>
      <c r="F809" s="213"/>
      <c r="G809" s="213"/>
      <c r="H809" s="34"/>
      <c r="I809" s="68" t="str">
        <f t="shared" si="1"/>
        <v/>
      </c>
      <c r="J809" s="68" t="str">
        <f t="shared" si="2"/>
        <v/>
      </c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5.75" customHeight="1">
      <c r="A810" s="34"/>
      <c r="B810" s="34"/>
      <c r="C810" s="34"/>
      <c r="D810" s="212"/>
      <c r="E810" s="34"/>
      <c r="F810" s="213"/>
      <c r="G810" s="213"/>
      <c r="H810" s="34"/>
      <c r="I810" s="68" t="str">
        <f t="shared" si="1"/>
        <v/>
      </c>
      <c r="J810" s="68" t="str">
        <f t="shared" si="2"/>
        <v/>
      </c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5.75" customHeight="1">
      <c r="A811" s="34"/>
      <c r="B811" s="34"/>
      <c r="C811" s="34"/>
      <c r="D811" s="212"/>
      <c r="E811" s="34"/>
      <c r="F811" s="213"/>
      <c r="G811" s="213"/>
      <c r="H811" s="34"/>
      <c r="I811" s="68" t="str">
        <f t="shared" si="1"/>
        <v/>
      </c>
      <c r="J811" s="68" t="str">
        <f t="shared" si="2"/>
        <v/>
      </c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5.75" customHeight="1">
      <c r="A812" s="34"/>
      <c r="B812" s="34"/>
      <c r="C812" s="34"/>
      <c r="D812" s="212"/>
      <c r="E812" s="34"/>
      <c r="F812" s="213"/>
      <c r="G812" s="213"/>
      <c r="H812" s="34"/>
      <c r="I812" s="68" t="str">
        <f t="shared" si="1"/>
        <v/>
      </c>
      <c r="J812" s="68" t="str">
        <f t="shared" si="2"/>
        <v/>
      </c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5.75" customHeight="1">
      <c r="A813" s="34"/>
      <c r="B813" s="34"/>
      <c r="C813" s="34"/>
      <c r="D813" s="212"/>
      <c r="E813" s="34"/>
      <c r="F813" s="213"/>
      <c r="G813" s="213"/>
      <c r="H813" s="34"/>
      <c r="I813" s="68" t="str">
        <f t="shared" si="1"/>
        <v/>
      </c>
      <c r="J813" s="68" t="str">
        <f t="shared" si="2"/>
        <v/>
      </c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5.75" customHeight="1">
      <c r="A814" s="34"/>
      <c r="B814" s="34"/>
      <c r="C814" s="34"/>
      <c r="D814" s="212"/>
      <c r="E814" s="34"/>
      <c r="F814" s="213"/>
      <c r="G814" s="213"/>
      <c r="H814" s="34"/>
      <c r="I814" s="68" t="str">
        <f t="shared" si="1"/>
        <v/>
      </c>
      <c r="J814" s="68" t="str">
        <f t="shared" si="2"/>
        <v/>
      </c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5.75" customHeight="1">
      <c r="A815" s="34"/>
      <c r="B815" s="34"/>
      <c r="C815" s="34"/>
      <c r="D815" s="212"/>
      <c r="E815" s="34"/>
      <c r="F815" s="213"/>
      <c r="G815" s="213"/>
      <c r="H815" s="34"/>
      <c r="I815" s="68" t="str">
        <f t="shared" si="1"/>
        <v/>
      </c>
      <c r="J815" s="68" t="str">
        <f t="shared" si="2"/>
        <v/>
      </c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5.75" customHeight="1">
      <c r="A816" s="34"/>
      <c r="B816" s="34"/>
      <c r="C816" s="34"/>
      <c r="D816" s="212"/>
      <c r="E816" s="34"/>
      <c r="F816" s="213"/>
      <c r="G816" s="213"/>
      <c r="H816" s="34"/>
      <c r="I816" s="68" t="str">
        <f t="shared" si="1"/>
        <v/>
      </c>
      <c r="J816" s="68" t="str">
        <f t="shared" si="2"/>
        <v/>
      </c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5.75" customHeight="1">
      <c r="A817" s="34"/>
      <c r="B817" s="34"/>
      <c r="C817" s="34"/>
      <c r="D817" s="212"/>
      <c r="E817" s="34"/>
      <c r="F817" s="213"/>
      <c r="G817" s="213"/>
      <c r="H817" s="34"/>
      <c r="I817" s="68" t="str">
        <f t="shared" si="1"/>
        <v/>
      </c>
      <c r="J817" s="68" t="str">
        <f t="shared" si="2"/>
        <v/>
      </c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5.75" customHeight="1">
      <c r="A818" s="34"/>
      <c r="B818" s="34"/>
      <c r="C818" s="34"/>
      <c r="D818" s="212"/>
      <c r="E818" s="34"/>
      <c r="F818" s="213"/>
      <c r="G818" s="213"/>
      <c r="H818" s="34"/>
      <c r="I818" s="68" t="str">
        <f t="shared" si="1"/>
        <v/>
      </c>
      <c r="J818" s="68" t="str">
        <f t="shared" si="2"/>
        <v/>
      </c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5.75" customHeight="1">
      <c r="A819" s="34"/>
      <c r="B819" s="34"/>
      <c r="C819" s="34"/>
      <c r="D819" s="212"/>
      <c r="E819" s="34"/>
      <c r="F819" s="213"/>
      <c r="G819" s="213"/>
      <c r="H819" s="34"/>
      <c r="I819" s="68" t="str">
        <f t="shared" si="1"/>
        <v/>
      </c>
      <c r="J819" s="68" t="str">
        <f t="shared" si="2"/>
        <v/>
      </c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5.75" customHeight="1">
      <c r="A820" s="34"/>
      <c r="B820" s="34"/>
      <c r="C820" s="34"/>
      <c r="D820" s="212"/>
      <c r="E820" s="34"/>
      <c r="F820" s="213"/>
      <c r="G820" s="213"/>
      <c r="H820" s="34"/>
      <c r="I820" s="68" t="str">
        <f t="shared" si="1"/>
        <v/>
      </c>
      <c r="J820" s="68" t="str">
        <f t="shared" si="2"/>
        <v/>
      </c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5.75" customHeight="1">
      <c r="A821" s="34"/>
      <c r="B821" s="34"/>
      <c r="C821" s="34"/>
      <c r="D821" s="212"/>
      <c r="E821" s="34"/>
      <c r="F821" s="213"/>
      <c r="G821" s="213"/>
      <c r="H821" s="34"/>
      <c r="I821" s="68" t="str">
        <f t="shared" si="1"/>
        <v/>
      </c>
      <c r="J821" s="68" t="str">
        <f t="shared" si="2"/>
        <v/>
      </c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5.75" customHeight="1">
      <c r="A822" s="34"/>
      <c r="B822" s="34"/>
      <c r="C822" s="34"/>
      <c r="D822" s="212"/>
      <c r="E822" s="34"/>
      <c r="F822" s="213"/>
      <c r="G822" s="213"/>
      <c r="H822" s="34"/>
      <c r="I822" s="68" t="str">
        <f t="shared" si="1"/>
        <v/>
      </c>
      <c r="J822" s="68" t="str">
        <f t="shared" si="2"/>
        <v/>
      </c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5.75" customHeight="1">
      <c r="A823" s="34"/>
      <c r="B823" s="34"/>
      <c r="C823" s="34"/>
      <c r="D823" s="212"/>
      <c r="E823" s="34"/>
      <c r="F823" s="213"/>
      <c r="G823" s="213"/>
      <c r="H823" s="34"/>
      <c r="I823" s="68" t="str">
        <f t="shared" si="1"/>
        <v/>
      </c>
      <c r="J823" s="68" t="str">
        <f t="shared" si="2"/>
        <v/>
      </c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5.75" customHeight="1">
      <c r="A824" s="34"/>
      <c r="B824" s="34"/>
      <c r="C824" s="34"/>
      <c r="D824" s="212"/>
      <c r="E824" s="34"/>
      <c r="F824" s="213"/>
      <c r="G824" s="213"/>
      <c r="H824" s="34"/>
      <c r="I824" s="68" t="str">
        <f t="shared" si="1"/>
        <v/>
      </c>
      <c r="J824" s="68" t="str">
        <f t="shared" si="2"/>
        <v/>
      </c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5.75" customHeight="1">
      <c r="A825" s="34"/>
      <c r="B825" s="34"/>
      <c r="C825" s="34"/>
      <c r="D825" s="212"/>
      <c r="E825" s="34"/>
      <c r="F825" s="213"/>
      <c r="G825" s="213"/>
      <c r="H825" s="34"/>
      <c r="I825" s="68" t="str">
        <f t="shared" si="1"/>
        <v/>
      </c>
      <c r="J825" s="68" t="str">
        <f t="shared" si="2"/>
        <v/>
      </c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5.75" customHeight="1">
      <c r="A826" s="34"/>
      <c r="B826" s="34"/>
      <c r="C826" s="34"/>
      <c r="D826" s="212"/>
      <c r="E826" s="34"/>
      <c r="F826" s="213"/>
      <c r="G826" s="213"/>
      <c r="H826" s="34"/>
      <c r="I826" s="68" t="str">
        <f t="shared" si="1"/>
        <v/>
      </c>
      <c r="J826" s="68" t="str">
        <f t="shared" si="2"/>
        <v/>
      </c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5.75" customHeight="1">
      <c r="A827" s="34"/>
      <c r="B827" s="34"/>
      <c r="C827" s="34"/>
      <c r="D827" s="212"/>
      <c r="E827" s="34"/>
      <c r="F827" s="213"/>
      <c r="G827" s="213"/>
      <c r="H827" s="34"/>
      <c r="I827" s="68" t="str">
        <f t="shared" si="1"/>
        <v/>
      </c>
      <c r="J827" s="68" t="str">
        <f t="shared" si="2"/>
        <v/>
      </c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5.75" customHeight="1">
      <c r="A828" s="34"/>
      <c r="B828" s="34"/>
      <c r="C828" s="34"/>
      <c r="D828" s="212"/>
      <c r="E828" s="34"/>
      <c r="F828" s="213"/>
      <c r="G828" s="213"/>
      <c r="H828" s="34"/>
      <c r="I828" s="68" t="str">
        <f t="shared" si="1"/>
        <v/>
      </c>
      <c r="J828" s="68" t="str">
        <f t="shared" si="2"/>
        <v/>
      </c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5.75" customHeight="1">
      <c r="A829" s="34"/>
      <c r="B829" s="34"/>
      <c r="C829" s="34"/>
      <c r="D829" s="212"/>
      <c r="E829" s="34"/>
      <c r="F829" s="213"/>
      <c r="G829" s="213"/>
      <c r="H829" s="34"/>
      <c r="I829" s="68" t="str">
        <f t="shared" si="1"/>
        <v/>
      </c>
      <c r="J829" s="68" t="str">
        <f t="shared" si="2"/>
        <v/>
      </c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5.75" customHeight="1">
      <c r="A830" s="34"/>
      <c r="B830" s="34"/>
      <c r="C830" s="34"/>
      <c r="D830" s="212"/>
      <c r="E830" s="34"/>
      <c r="F830" s="213"/>
      <c r="G830" s="213"/>
      <c r="H830" s="34"/>
      <c r="I830" s="68" t="str">
        <f t="shared" si="1"/>
        <v/>
      </c>
      <c r="J830" s="68" t="str">
        <f t="shared" si="2"/>
        <v/>
      </c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5.75" customHeight="1">
      <c r="A831" s="34"/>
      <c r="B831" s="34"/>
      <c r="C831" s="34"/>
      <c r="D831" s="212"/>
      <c r="E831" s="34"/>
      <c r="F831" s="213"/>
      <c r="G831" s="213"/>
      <c r="H831" s="34"/>
      <c r="I831" s="68" t="str">
        <f t="shared" si="1"/>
        <v/>
      </c>
      <c r="J831" s="68" t="str">
        <f t="shared" si="2"/>
        <v/>
      </c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5.75" customHeight="1">
      <c r="A832" s="34"/>
      <c r="B832" s="34"/>
      <c r="C832" s="34"/>
      <c r="D832" s="212"/>
      <c r="E832" s="34"/>
      <c r="F832" s="213"/>
      <c r="G832" s="213"/>
      <c r="H832" s="34"/>
      <c r="I832" s="68" t="str">
        <f t="shared" si="1"/>
        <v/>
      </c>
      <c r="J832" s="68" t="str">
        <f t="shared" si="2"/>
        <v/>
      </c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5.75" customHeight="1">
      <c r="A833" s="34"/>
      <c r="B833" s="34"/>
      <c r="C833" s="34"/>
      <c r="D833" s="212"/>
      <c r="E833" s="34"/>
      <c r="F833" s="213"/>
      <c r="G833" s="213"/>
      <c r="H833" s="34"/>
      <c r="I833" s="68" t="str">
        <f t="shared" si="1"/>
        <v/>
      </c>
      <c r="J833" s="68" t="str">
        <f t="shared" si="2"/>
        <v/>
      </c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5.75" customHeight="1">
      <c r="A834" s="34"/>
      <c r="B834" s="34"/>
      <c r="C834" s="34"/>
      <c r="D834" s="212"/>
      <c r="E834" s="34"/>
      <c r="F834" s="213"/>
      <c r="G834" s="213"/>
      <c r="H834" s="34"/>
      <c r="I834" s="68" t="str">
        <f t="shared" si="1"/>
        <v/>
      </c>
      <c r="J834" s="68" t="str">
        <f t="shared" si="2"/>
        <v/>
      </c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5.75" customHeight="1">
      <c r="A835" s="34"/>
      <c r="B835" s="34"/>
      <c r="C835" s="34"/>
      <c r="D835" s="212"/>
      <c r="E835" s="34"/>
      <c r="F835" s="213"/>
      <c r="G835" s="213"/>
      <c r="H835" s="34"/>
      <c r="I835" s="68" t="str">
        <f t="shared" si="1"/>
        <v/>
      </c>
      <c r="J835" s="68" t="str">
        <f t="shared" si="2"/>
        <v/>
      </c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5.75" customHeight="1">
      <c r="A836" s="34"/>
      <c r="B836" s="34"/>
      <c r="C836" s="34"/>
      <c r="D836" s="212"/>
      <c r="E836" s="34"/>
      <c r="F836" s="213"/>
      <c r="G836" s="213"/>
      <c r="H836" s="34"/>
      <c r="I836" s="68" t="str">
        <f t="shared" si="1"/>
        <v/>
      </c>
      <c r="J836" s="68" t="str">
        <f t="shared" si="2"/>
        <v/>
      </c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5.75" customHeight="1">
      <c r="A837" s="34"/>
      <c r="B837" s="34"/>
      <c r="C837" s="34"/>
      <c r="D837" s="212"/>
      <c r="E837" s="34"/>
      <c r="F837" s="213"/>
      <c r="G837" s="213"/>
      <c r="H837" s="34"/>
      <c r="I837" s="68" t="str">
        <f t="shared" si="1"/>
        <v/>
      </c>
      <c r="J837" s="68" t="str">
        <f t="shared" si="2"/>
        <v/>
      </c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5.75" customHeight="1">
      <c r="A838" s="34"/>
      <c r="B838" s="34"/>
      <c r="C838" s="34"/>
      <c r="D838" s="212"/>
      <c r="E838" s="34"/>
      <c r="F838" s="213"/>
      <c r="G838" s="213"/>
      <c r="H838" s="34"/>
      <c r="I838" s="68" t="str">
        <f t="shared" si="1"/>
        <v/>
      </c>
      <c r="J838" s="68" t="str">
        <f t="shared" si="2"/>
        <v/>
      </c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5.75" customHeight="1">
      <c r="A839" s="34"/>
      <c r="B839" s="34"/>
      <c r="C839" s="34"/>
      <c r="D839" s="212"/>
      <c r="E839" s="34"/>
      <c r="F839" s="213"/>
      <c r="G839" s="213"/>
      <c r="H839" s="34"/>
      <c r="I839" s="68" t="str">
        <f t="shared" si="1"/>
        <v/>
      </c>
      <c r="J839" s="68" t="str">
        <f t="shared" si="2"/>
        <v/>
      </c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5.75" customHeight="1">
      <c r="A840" s="34"/>
      <c r="B840" s="34"/>
      <c r="C840" s="34"/>
      <c r="D840" s="212"/>
      <c r="E840" s="34"/>
      <c r="F840" s="213"/>
      <c r="G840" s="213"/>
      <c r="H840" s="34"/>
      <c r="I840" s="68" t="str">
        <f t="shared" si="1"/>
        <v/>
      </c>
      <c r="J840" s="68" t="str">
        <f t="shared" si="2"/>
        <v/>
      </c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5.75" customHeight="1">
      <c r="A841" s="34"/>
      <c r="B841" s="34"/>
      <c r="C841" s="34"/>
      <c r="D841" s="212"/>
      <c r="E841" s="34"/>
      <c r="F841" s="213"/>
      <c r="G841" s="213"/>
      <c r="H841" s="34"/>
      <c r="I841" s="68" t="str">
        <f t="shared" si="1"/>
        <v/>
      </c>
      <c r="J841" s="68" t="str">
        <f t="shared" si="2"/>
        <v/>
      </c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5.75" customHeight="1">
      <c r="A842" s="34"/>
      <c r="B842" s="34"/>
      <c r="C842" s="34"/>
      <c r="D842" s="212"/>
      <c r="E842" s="34"/>
      <c r="F842" s="213"/>
      <c r="G842" s="213"/>
      <c r="H842" s="34"/>
      <c r="I842" s="68" t="str">
        <f t="shared" si="1"/>
        <v/>
      </c>
      <c r="J842" s="68" t="str">
        <f t="shared" si="2"/>
        <v/>
      </c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5.75" customHeight="1">
      <c r="A843" s="34"/>
      <c r="B843" s="34"/>
      <c r="C843" s="34"/>
      <c r="D843" s="212"/>
      <c r="E843" s="34"/>
      <c r="F843" s="213"/>
      <c r="G843" s="213"/>
      <c r="H843" s="34"/>
      <c r="I843" s="68" t="str">
        <f t="shared" si="1"/>
        <v/>
      </c>
      <c r="J843" s="68" t="str">
        <f t="shared" si="2"/>
        <v/>
      </c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5.75" customHeight="1">
      <c r="A844" s="34"/>
      <c r="B844" s="34"/>
      <c r="C844" s="34"/>
      <c r="D844" s="212"/>
      <c r="E844" s="34"/>
      <c r="F844" s="213"/>
      <c r="G844" s="213"/>
      <c r="H844" s="34"/>
      <c r="I844" s="68" t="str">
        <f t="shared" si="1"/>
        <v/>
      </c>
      <c r="J844" s="68" t="str">
        <f t="shared" si="2"/>
        <v/>
      </c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5.75" customHeight="1">
      <c r="A845" s="34"/>
      <c r="B845" s="34"/>
      <c r="C845" s="34"/>
      <c r="D845" s="212"/>
      <c r="E845" s="34"/>
      <c r="F845" s="213"/>
      <c r="G845" s="213"/>
      <c r="H845" s="34"/>
      <c r="I845" s="68" t="str">
        <f t="shared" si="1"/>
        <v/>
      </c>
      <c r="J845" s="68" t="str">
        <f t="shared" si="2"/>
        <v/>
      </c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5.75" customHeight="1">
      <c r="A846" s="34"/>
      <c r="B846" s="34"/>
      <c r="C846" s="34"/>
      <c r="D846" s="212"/>
      <c r="E846" s="34"/>
      <c r="F846" s="213"/>
      <c r="G846" s="213"/>
      <c r="H846" s="34"/>
      <c r="I846" s="68" t="str">
        <f t="shared" si="1"/>
        <v/>
      </c>
      <c r="J846" s="68" t="str">
        <f t="shared" si="2"/>
        <v/>
      </c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5.75" customHeight="1">
      <c r="A847" s="34"/>
      <c r="B847" s="34"/>
      <c r="C847" s="34"/>
      <c r="D847" s="212"/>
      <c r="E847" s="34"/>
      <c r="F847" s="213"/>
      <c r="G847" s="213"/>
      <c r="H847" s="34"/>
      <c r="I847" s="68" t="str">
        <f t="shared" si="1"/>
        <v/>
      </c>
      <c r="J847" s="68" t="str">
        <f t="shared" si="2"/>
        <v/>
      </c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5.75" customHeight="1">
      <c r="A848" s="34"/>
      <c r="B848" s="34"/>
      <c r="C848" s="34"/>
      <c r="D848" s="212"/>
      <c r="E848" s="34"/>
      <c r="F848" s="213"/>
      <c r="G848" s="213"/>
      <c r="H848" s="34"/>
      <c r="I848" s="68" t="str">
        <f t="shared" si="1"/>
        <v/>
      </c>
      <c r="J848" s="68" t="str">
        <f t="shared" si="2"/>
        <v/>
      </c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5.75" customHeight="1">
      <c r="A849" s="34"/>
      <c r="B849" s="34"/>
      <c r="C849" s="34"/>
      <c r="D849" s="212"/>
      <c r="E849" s="34"/>
      <c r="F849" s="213"/>
      <c r="G849" s="213"/>
      <c r="H849" s="34"/>
      <c r="I849" s="68" t="str">
        <f t="shared" si="1"/>
        <v/>
      </c>
      <c r="J849" s="68" t="str">
        <f t="shared" si="2"/>
        <v/>
      </c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5.75" customHeight="1">
      <c r="A850" s="34"/>
      <c r="B850" s="34"/>
      <c r="C850" s="34"/>
      <c r="D850" s="212"/>
      <c r="E850" s="34"/>
      <c r="F850" s="213"/>
      <c r="G850" s="213"/>
      <c r="H850" s="34"/>
      <c r="I850" s="68" t="str">
        <f t="shared" si="1"/>
        <v/>
      </c>
      <c r="J850" s="68" t="str">
        <f t="shared" si="2"/>
        <v/>
      </c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5.75" customHeight="1">
      <c r="A851" s="34"/>
      <c r="B851" s="34"/>
      <c r="C851" s="34"/>
      <c r="D851" s="212"/>
      <c r="E851" s="34"/>
      <c r="F851" s="213"/>
      <c r="G851" s="213"/>
      <c r="H851" s="34"/>
      <c r="I851" s="68" t="str">
        <f t="shared" si="1"/>
        <v/>
      </c>
      <c r="J851" s="68" t="str">
        <f t="shared" si="2"/>
        <v/>
      </c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5.75" customHeight="1">
      <c r="A852" s="34"/>
      <c r="B852" s="34"/>
      <c r="C852" s="34"/>
      <c r="D852" s="212"/>
      <c r="E852" s="34"/>
      <c r="F852" s="213"/>
      <c r="G852" s="213"/>
      <c r="H852" s="34"/>
      <c r="I852" s="68" t="str">
        <f t="shared" si="1"/>
        <v/>
      </c>
      <c r="J852" s="68" t="str">
        <f t="shared" si="2"/>
        <v/>
      </c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5.75" customHeight="1">
      <c r="A853" s="34"/>
      <c r="B853" s="34"/>
      <c r="C853" s="34"/>
      <c r="D853" s="212"/>
      <c r="E853" s="34"/>
      <c r="F853" s="213"/>
      <c r="G853" s="213"/>
      <c r="H853" s="34"/>
      <c r="I853" s="68" t="str">
        <f t="shared" si="1"/>
        <v/>
      </c>
      <c r="J853" s="68" t="str">
        <f t="shared" si="2"/>
        <v/>
      </c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5.75" customHeight="1">
      <c r="A854" s="34"/>
      <c r="B854" s="34"/>
      <c r="C854" s="34"/>
      <c r="D854" s="212"/>
      <c r="E854" s="34"/>
      <c r="F854" s="213"/>
      <c r="G854" s="213"/>
      <c r="H854" s="34"/>
      <c r="I854" s="68" t="str">
        <f t="shared" si="1"/>
        <v/>
      </c>
      <c r="J854" s="68" t="str">
        <f t="shared" si="2"/>
        <v/>
      </c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5.75" customHeight="1">
      <c r="A855" s="34"/>
      <c r="B855" s="34"/>
      <c r="C855" s="34"/>
      <c r="D855" s="212"/>
      <c r="E855" s="34"/>
      <c r="F855" s="213"/>
      <c r="G855" s="213"/>
      <c r="H855" s="34"/>
      <c r="I855" s="68" t="str">
        <f t="shared" si="1"/>
        <v/>
      </c>
      <c r="J855" s="68" t="str">
        <f t="shared" si="2"/>
        <v/>
      </c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5.75" customHeight="1">
      <c r="A856" s="34"/>
      <c r="B856" s="34"/>
      <c r="C856" s="34"/>
      <c r="D856" s="212"/>
      <c r="E856" s="34"/>
      <c r="F856" s="213"/>
      <c r="G856" s="213"/>
      <c r="H856" s="34"/>
      <c r="I856" s="68" t="str">
        <f t="shared" si="1"/>
        <v/>
      </c>
      <c r="J856" s="68" t="str">
        <f t="shared" si="2"/>
        <v/>
      </c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5.75" customHeight="1">
      <c r="A857" s="34"/>
      <c r="B857" s="34"/>
      <c r="C857" s="34"/>
      <c r="D857" s="212"/>
      <c r="E857" s="34"/>
      <c r="F857" s="213"/>
      <c r="G857" s="213"/>
      <c r="H857" s="34"/>
      <c r="I857" s="68" t="str">
        <f t="shared" si="1"/>
        <v/>
      </c>
      <c r="J857" s="68" t="str">
        <f t="shared" si="2"/>
        <v/>
      </c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5.75" customHeight="1">
      <c r="A858" s="34"/>
      <c r="B858" s="34"/>
      <c r="C858" s="34"/>
      <c r="D858" s="212"/>
      <c r="E858" s="34"/>
      <c r="F858" s="213"/>
      <c r="G858" s="213"/>
      <c r="H858" s="34"/>
      <c r="I858" s="68" t="str">
        <f t="shared" si="1"/>
        <v/>
      </c>
      <c r="J858" s="68" t="str">
        <f t="shared" si="2"/>
        <v/>
      </c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5.75" customHeight="1">
      <c r="A859" s="34"/>
      <c r="B859" s="34"/>
      <c r="C859" s="34"/>
      <c r="D859" s="212"/>
      <c r="E859" s="34"/>
      <c r="F859" s="213"/>
      <c r="G859" s="213"/>
      <c r="H859" s="34"/>
      <c r="I859" s="68" t="str">
        <f t="shared" si="1"/>
        <v/>
      </c>
      <c r="J859" s="68" t="str">
        <f t="shared" si="2"/>
        <v/>
      </c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5.75" customHeight="1">
      <c r="A860" s="34"/>
      <c r="B860" s="34"/>
      <c r="C860" s="34"/>
      <c r="D860" s="212"/>
      <c r="E860" s="34"/>
      <c r="F860" s="213"/>
      <c r="G860" s="213"/>
      <c r="H860" s="34"/>
      <c r="I860" s="68" t="str">
        <f t="shared" si="1"/>
        <v/>
      </c>
      <c r="J860" s="68" t="str">
        <f t="shared" si="2"/>
        <v/>
      </c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5.75" customHeight="1">
      <c r="A861" s="34"/>
      <c r="B861" s="34"/>
      <c r="C861" s="34"/>
      <c r="D861" s="212"/>
      <c r="E861" s="34"/>
      <c r="F861" s="213"/>
      <c r="G861" s="213"/>
      <c r="H861" s="34"/>
      <c r="I861" s="68" t="str">
        <f t="shared" si="1"/>
        <v/>
      </c>
      <c r="J861" s="68" t="str">
        <f t="shared" si="2"/>
        <v/>
      </c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5.75" customHeight="1">
      <c r="A862" s="34"/>
      <c r="B862" s="34"/>
      <c r="C862" s="34"/>
      <c r="D862" s="212"/>
      <c r="E862" s="34"/>
      <c r="F862" s="213"/>
      <c r="G862" s="213"/>
      <c r="H862" s="34"/>
      <c r="I862" s="68" t="str">
        <f t="shared" si="1"/>
        <v/>
      </c>
      <c r="J862" s="68" t="str">
        <f t="shared" si="2"/>
        <v/>
      </c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5.75" customHeight="1">
      <c r="A863" s="34"/>
      <c r="B863" s="34"/>
      <c r="C863" s="34"/>
      <c r="D863" s="212"/>
      <c r="E863" s="34"/>
      <c r="F863" s="213"/>
      <c r="G863" s="213"/>
      <c r="H863" s="34"/>
      <c r="I863" s="68" t="str">
        <f t="shared" si="1"/>
        <v/>
      </c>
      <c r="J863" s="68" t="str">
        <f t="shared" si="2"/>
        <v/>
      </c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5.75" customHeight="1">
      <c r="A864" s="34"/>
      <c r="B864" s="34"/>
      <c r="C864" s="34"/>
      <c r="D864" s="212"/>
      <c r="E864" s="34"/>
      <c r="F864" s="213"/>
      <c r="G864" s="213"/>
      <c r="H864" s="34"/>
      <c r="I864" s="68" t="str">
        <f t="shared" si="1"/>
        <v/>
      </c>
      <c r="J864" s="68" t="str">
        <f t="shared" si="2"/>
        <v/>
      </c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5.75" customHeight="1">
      <c r="A865" s="34"/>
      <c r="B865" s="34"/>
      <c r="C865" s="34"/>
      <c r="D865" s="212"/>
      <c r="E865" s="34"/>
      <c r="F865" s="213"/>
      <c r="G865" s="213"/>
      <c r="H865" s="34"/>
      <c r="I865" s="68" t="str">
        <f t="shared" si="1"/>
        <v/>
      </c>
      <c r="J865" s="68" t="str">
        <f t="shared" si="2"/>
        <v/>
      </c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5.75" customHeight="1">
      <c r="A866" s="34"/>
      <c r="B866" s="34"/>
      <c r="C866" s="34"/>
      <c r="D866" s="212"/>
      <c r="E866" s="34"/>
      <c r="F866" s="213"/>
      <c r="G866" s="213"/>
      <c r="H866" s="34"/>
      <c r="I866" s="68" t="str">
        <f t="shared" si="1"/>
        <v/>
      </c>
      <c r="J866" s="68" t="str">
        <f t="shared" si="2"/>
        <v/>
      </c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5.75" customHeight="1">
      <c r="A867" s="34"/>
      <c r="B867" s="34"/>
      <c r="C867" s="34"/>
      <c r="D867" s="212"/>
      <c r="E867" s="34"/>
      <c r="F867" s="213"/>
      <c r="G867" s="213"/>
      <c r="H867" s="34"/>
      <c r="I867" s="68" t="str">
        <f t="shared" si="1"/>
        <v/>
      </c>
      <c r="J867" s="68" t="str">
        <f t="shared" si="2"/>
        <v/>
      </c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5.75" customHeight="1">
      <c r="A868" s="34"/>
      <c r="B868" s="34"/>
      <c r="C868" s="34"/>
      <c r="D868" s="212"/>
      <c r="E868" s="34"/>
      <c r="F868" s="213"/>
      <c r="G868" s="213"/>
      <c r="H868" s="34"/>
      <c r="I868" s="68" t="str">
        <f t="shared" si="1"/>
        <v/>
      </c>
      <c r="J868" s="68" t="str">
        <f t="shared" si="2"/>
        <v/>
      </c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5.75" customHeight="1">
      <c r="A869" s="34"/>
      <c r="B869" s="34"/>
      <c r="C869" s="34"/>
      <c r="D869" s="212"/>
      <c r="E869" s="34"/>
      <c r="F869" s="213"/>
      <c r="G869" s="213"/>
      <c r="H869" s="34"/>
      <c r="I869" s="68" t="str">
        <f t="shared" si="1"/>
        <v/>
      </c>
      <c r="J869" s="68" t="str">
        <f t="shared" si="2"/>
        <v/>
      </c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5.75" customHeight="1">
      <c r="A870" s="34"/>
      <c r="B870" s="34"/>
      <c r="C870" s="34"/>
      <c r="D870" s="212"/>
      <c r="E870" s="34"/>
      <c r="F870" s="213"/>
      <c r="G870" s="213"/>
      <c r="H870" s="34"/>
      <c r="I870" s="68" t="str">
        <f t="shared" si="1"/>
        <v/>
      </c>
      <c r="J870" s="68" t="str">
        <f t="shared" si="2"/>
        <v/>
      </c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5.75" customHeight="1">
      <c r="A871" s="34"/>
      <c r="B871" s="34"/>
      <c r="C871" s="34"/>
      <c r="D871" s="212"/>
      <c r="E871" s="34"/>
      <c r="F871" s="213"/>
      <c r="G871" s="213"/>
      <c r="H871" s="34"/>
      <c r="I871" s="68" t="str">
        <f t="shared" si="1"/>
        <v/>
      </c>
      <c r="J871" s="68" t="str">
        <f t="shared" si="2"/>
        <v/>
      </c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5.75" customHeight="1">
      <c r="A872" s="34"/>
      <c r="B872" s="34"/>
      <c r="C872" s="34"/>
      <c r="D872" s="212"/>
      <c r="E872" s="34"/>
      <c r="F872" s="213"/>
      <c r="G872" s="213"/>
      <c r="H872" s="34"/>
      <c r="I872" s="68" t="str">
        <f t="shared" si="1"/>
        <v/>
      </c>
      <c r="J872" s="68" t="str">
        <f t="shared" si="2"/>
        <v/>
      </c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5.75" customHeight="1">
      <c r="A873" s="34"/>
      <c r="B873" s="34"/>
      <c r="C873" s="34"/>
      <c r="D873" s="212"/>
      <c r="E873" s="34"/>
      <c r="F873" s="213"/>
      <c r="G873" s="213"/>
      <c r="H873" s="34"/>
      <c r="I873" s="68" t="str">
        <f t="shared" si="1"/>
        <v/>
      </c>
      <c r="J873" s="68" t="str">
        <f t="shared" si="2"/>
        <v/>
      </c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5.75" customHeight="1">
      <c r="A874" s="34"/>
      <c r="B874" s="34"/>
      <c r="C874" s="34"/>
      <c r="D874" s="212"/>
      <c r="E874" s="34"/>
      <c r="F874" s="213"/>
      <c r="G874" s="213"/>
      <c r="H874" s="34"/>
      <c r="I874" s="68" t="str">
        <f t="shared" si="1"/>
        <v/>
      </c>
      <c r="J874" s="68" t="str">
        <f t="shared" si="2"/>
        <v/>
      </c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5.75" customHeight="1">
      <c r="A875" s="34"/>
      <c r="B875" s="34"/>
      <c r="C875" s="34"/>
      <c r="D875" s="212"/>
      <c r="E875" s="34"/>
      <c r="F875" s="213"/>
      <c r="G875" s="213"/>
      <c r="H875" s="34"/>
      <c r="I875" s="68" t="str">
        <f t="shared" si="1"/>
        <v/>
      </c>
      <c r="J875" s="68" t="str">
        <f t="shared" si="2"/>
        <v/>
      </c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5.75" customHeight="1">
      <c r="A876" s="34"/>
      <c r="B876" s="34"/>
      <c r="C876" s="34"/>
      <c r="D876" s="212"/>
      <c r="E876" s="34"/>
      <c r="F876" s="213"/>
      <c r="G876" s="213"/>
      <c r="H876" s="34"/>
      <c r="I876" s="68" t="str">
        <f t="shared" si="1"/>
        <v/>
      </c>
      <c r="J876" s="68" t="str">
        <f t="shared" si="2"/>
        <v/>
      </c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5.75" customHeight="1">
      <c r="A877" s="34"/>
      <c r="B877" s="34"/>
      <c r="C877" s="34"/>
      <c r="D877" s="212"/>
      <c r="E877" s="34"/>
      <c r="F877" s="213"/>
      <c r="G877" s="213"/>
      <c r="H877" s="34"/>
      <c r="I877" s="68" t="str">
        <f t="shared" si="1"/>
        <v/>
      </c>
      <c r="J877" s="68" t="str">
        <f t="shared" si="2"/>
        <v/>
      </c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5.75" customHeight="1">
      <c r="A878" s="34"/>
      <c r="B878" s="34"/>
      <c r="C878" s="34"/>
      <c r="D878" s="212"/>
      <c r="E878" s="34"/>
      <c r="F878" s="213"/>
      <c r="G878" s="213"/>
      <c r="H878" s="34"/>
      <c r="I878" s="68" t="str">
        <f t="shared" si="1"/>
        <v/>
      </c>
      <c r="J878" s="68" t="str">
        <f t="shared" si="2"/>
        <v/>
      </c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5.75" customHeight="1">
      <c r="A879" s="34"/>
      <c r="B879" s="34"/>
      <c r="C879" s="34"/>
      <c r="D879" s="212"/>
      <c r="E879" s="34"/>
      <c r="F879" s="213"/>
      <c r="G879" s="213"/>
      <c r="H879" s="34"/>
      <c r="I879" s="68" t="str">
        <f t="shared" si="1"/>
        <v/>
      </c>
      <c r="J879" s="68" t="str">
        <f t="shared" si="2"/>
        <v/>
      </c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5.75" customHeight="1">
      <c r="A880" s="34"/>
      <c r="B880" s="34"/>
      <c r="C880" s="34"/>
      <c r="D880" s="212"/>
      <c r="E880" s="34"/>
      <c r="F880" s="213"/>
      <c r="G880" s="213"/>
      <c r="H880" s="34"/>
      <c r="I880" s="68" t="str">
        <f t="shared" si="1"/>
        <v/>
      </c>
      <c r="J880" s="68" t="str">
        <f t="shared" si="2"/>
        <v/>
      </c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5.75" customHeight="1">
      <c r="A881" s="34"/>
      <c r="B881" s="34"/>
      <c r="C881" s="34"/>
      <c r="D881" s="212"/>
      <c r="E881" s="34"/>
      <c r="F881" s="213"/>
      <c r="G881" s="213"/>
      <c r="H881" s="34"/>
      <c r="I881" s="68" t="str">
        <f t="shared" si="1"/>
        <v/>
      </c>
      <c r="J881" s="68" t="str">
        <f t="shared" si="2"/>
        <v/>
      </c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5.75" customHeight="1">
      <c r="A882" s="34"/>
      <c r="B882" s="34"/>
      <c r="C882" s="34"/>
      <c r="D882" s="212"/>
      <c r="E882" s="34"/>
      <c r="F882" s="213"/>
      <c r="G882" s="213"/>
      <c r="H882" s="34"/>
      <c r="I882" s="68" t="str">
        <f t="shared" si="1"/>
        <v/>
      </c>
      <c r="J882" s="68" t="str">
        <f t="shared" si="2"/>
        <v/>
      </c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5.75" customHeight="1">
      <c r="A883" s="34"/>
      <c r="B883" s="34"/>
      <c r="C883" s="34"/>
      <c r="D883" s="212"/>
      <c r="E883" s="34"/>
      <c r="F883" s="213"/>
      <c r="G883" s="213"/>
      <c r="H883" s="34"/>
      <c r="I883" s="68" t="str">
        <f t="shared" si="1"/>
        <v/>
      </c>
      <c r="J883" s="68" t="str">
        <f t="shared" si="2"/>
        <v/>
      </c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5.75" customHeight="1">
      <c r="A884" s="34"/>
      <c r="B884" s="34"/>
      <c r="C884" s="34"/>
      <c r="D884" s="212"/>
      <c r="E884" s="34"/>
      <c r="F884" s="213"/>
      <c r="G884" s="213"/>
      <c r="H884" s="34"/>
      <c r="I884" s="68" t="str">
        <f t="shared" si="1"/>
        <v/>
      </c>
      <c r="J884" s="68" t="str">
        <f t="shared" si="2"/>
        <v/>
      </c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5.75" customHeight="1">
      <c r="A885" s="34"/>
      <c r="B885" s="34"/>
      <c r="C885" s="34"/>
      <c r="D885" s="212"/>
      <c r="E885" s="34"/>
      <c r="F885" s="213"/>
      <c r="G885" s="213"/>
      <c r="H885" s="34"/>
      <c r="I885" s="68" t="str">
        <f t="shared" si="1"/>
        <v/>
      </c>
      <c r="J885" s="68" t="str">
        <f t="shared" si="2"/>
        <v/>
      </c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5.75" customHeight="1">
      <c r="A886" s="34"/>
      <c r="B886" s="34"/>
      <c r="C886" s="34"/>
      <c r="D886" s="212"/>
      <c r="E886" s="34"/>
      <c r="F886" s="213"/>
      <c r="G886" s="213"/>
      <c r="H886" s="34"/>
      <c r="I886" s="68" t="str">
        <f t="shared" si="1"/>
        <v/>
      </c>
      <c r="J886" s="68" t="str">
        <f t="shared" si="2"/>
        <v/>
      </c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5.75" customHeight="1">
      <c r="A887" s="34"/>
      <c r="B887" s="34"/>
      <c r="C887" s="34"/>
      <c r="D887" s="212"/>
      <c r="E887" s="34"/>
      <c r="F887" s="213"/>
      <c r="G887" s="213"/>
      <c r="H887" s="34"/>
      <c r="I887" s="68" t="str">
        <f t="shared" si="1"/>
        <v/>
      </c>
      <c r="J887" s="68" t="str">
        <f t="shared" si="2"/>
        <v/>
      </c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5.75" customHeight="1">
      <c r="A888" s="34"/>
      <c r="B888" s="34"/>
      <c r="C888" s="34"/>
      <c r="D888" s="212"/>
      <c r="E888" s="34"/>
      <c r="F888" s="213"/>
      <c r="G888" s="213"/>
      <c r="H888" s="34"/>
      <c r="I888" s="68" t="str">
        <f t="shared" si="1"/>
        <v/>
      </c>
      <c r="J888" s="68" t="str">
        <f t="shared" si="2"/>
        <v/>
      </c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5.75" customHeight="1">
      <c r="A889" s="34"/>
      <c r="B889" s="34"/>
      <c r="C889" s="34"/>
      <c r="D889" s="212"/>
      <c r="E889" s="34"/>
      <c r="F889" s="213"/>
      <c r="G889" s="213"/>
      <c r="H889" s="34"/>
      <c r="I889" s="68" t="str">
        <f t="shared" si="1"/>
        <v/>
      </c>
      <c r="J889" s="68" t="str">
        <f t="shared" si="2"/>
        <v/>
      </c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5.75" customHeight="1">
      <c r="A890" s="34"/>
      <c r="B890" s="34"/>
      <c r="C890" s="34"/>
      <c r="D890" s="212"/>
      <c r="E890" s="34"/>
      <c r="F890" s="213"/>
      <c r="G890" s="213"/>
      <c r="H890" s="34"/>
      <c r="I890" s="68" t="str">
        <f t="shared" si="1"/>
        <v/>
      </c>
      <c r="J890" s="68" t="str">
        <f t="shared" si="2"/>
        <v/>
      </c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5.75" customHeight="1">
      <c r="A891" s="34"/>
      <c r="B891" s="34"/>
      <c r="C891" s="34"/>
      <c r="D891" s="212"/>
      <c r="E891" s="34"/>
      <c r="F891" s="213"/>
      <c r="G891" s="213"/>
      <c r="H891" s="34"/>
      <c r="I891" s="68" t="str">
        <f t="shared" si="1"/>
        <v/>
      </c>
      <c r="J891" s="68" t="str">
        <f t="shared" si="2"/>
        <v/>
      </c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5.75" customHeight="1">
      <c r="A892" s="34"/>
      <c r="B892" s="34"/>
      <c r="C892" s="34"/>
      <c r="D892" s="212"/>
      <c r="E892" s="34"/>
      <c r="F892" s="213"/>
      <c r="G892" s="213"/>
      <c r="H892" s="34"/>
      <c r="I892" s="68" t="str">
        <f t="shared" si="1"/>
        <v/>
      </c>
      <c r="J892" s="68" t="str">
        <f t="shared" si="2"/>
        <v/>
      </c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5.75" customHeight="1">
      <c r="A893" s="34"/>
      <c r="B893" s="34"/>
      <c r="C893" s="34"/>
      <c r="D893" s="212"/>
      <c r="E893" s="34"/>
      <c r="F893" s="213"/>
      <c r="G893" s="213"/>
      <c r="H893" s="34"/>
      <c r="I893" s="68" t="str">
        <f t="shared" si="1"/>
        <v/>
      </c>
      <c r="J893" s="68" t="str">
        <f t="shared" si="2"/>
        <v/>
      </c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5.75" customHeight="1">
      <c r="A894" s="34"/>
      <c r="B894" s="34"/>
      <c r="C894" s="34"/>
      <c r="D894" s="212"/>
      <c r="E894" s="34"/>
      <c r="F894" s="213"/>
      <c r="G894" s="213"/>
      <c r="H894" s="34"/>
      <c r="I894" s="68" t="str">
        <f t="shared" si="1"/>
        <v/>
      </c>
      <c r="J894" s="68" t="str">
        <f t="shared" si="2"/>
        <v/>
      </c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5.75" customHeight="1">
      <c r="A895" s="34"/>
      <c r="B895" s="34"/>
      <c r="C895" s="34"/>
      <c r="D895" s="212"/>
      <c r="E895" s="34"/>
      <c r="F895" s="213"/>
      <c r="G895" s="213"/>
      <c r="H895" s="34"/>
      <c r="I895" s="68" t="str">
        <f t="shared" si="1"/>
        <v/>
      </c>
      <c r="J895" s="68" t="str">
        <f t="shared" si="2"/>
        <v/>
      </c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5.75" customHeight="1">
      <c r="A896" s="34"/>
      <c r="B896" s="34"/>
      <c r="C896" s="34"/>
      <c r="D896" s="212"/>
      <c r="E896" s="34"/>
      <c r="F896" s="213"/>
      <c r="G896" s="213"/>
      <c r="H896" s="34"/>
      <c r="I896" s="68" t="str">
        <f t="shared" si="1"/>
        <v/>
      </c>
      <c r="J896" s="68" t="str">
        <f t="shared" si="2"/>
        <v/>
      </c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5.75" customHeight="1">
      <c r="A897" s="34"/>
      <c r="B897" s="34"/>
      <c r="C897" s="34"/>
      <c r="D897" s="212"/>
      <c r="E897" s="34"/>
      <c r="F897" s="213"/>
      <c r="G897" s="213"/>
      <c r="H897" s="34"/>
      <c r="I897" s="68" t="str">
        <f t="shared" si="1"/>
        <v/>
      </c>
      <c r="J897" s="68" t="str">
        <f t="shared" si="2"/>
        <v/>
      </c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5.75" customHeight="1">
      <c r="A898" s="34"/>
      <c r="B898" s="34"/>
      <c r="C898" s="34"/>
      <c r="D898" s="212"/>
      <c r="E898" s="34"/>
      <c r="F898" s="213"/>
      <c r="G898" s="213"/>
      <c r="H898" s="34"/>
      <c r="I898" s="68" t="str">
        <f t="shared" si="1"/>
        <v/>
      </c>
      <c r="J898" s="68" t="str">
        <f t="shared" si="2"/>
        <v/>
      </c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5.75" customHeight="1">
      <c r="A899" s="34"/>
      <c r="B899" s="34"/>
      <c r="C899" s="34"/>
      <c r="D899" s="212"/>
      <c r="E899" s="34"/>
      <c r="F899" s="213"/>
      <c r="G899" s="213"/>
      <c r="H899" s="34"/>
      <c r="I899" s="68" t="str">
        <f t="shared" si="1"/>
        <v/>
      </c>
      <c r="J899" s="68" t="str">
        <f t="shared" si="2"/>
        <v/>
      </c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5.75" customHeight="1">
      <c r="A900" s="34"/>
      <c r="B900" s="34"/>
      <c r="C900" s="34"/>
      <c r="D900" s="212"/>
      <c r="E900" s="34"/>
      <c r="F900" s="213"/>
      <c r="G900" s="213"/>
      <c r="H900" s="34"/>
      <c r="I900" s="68" t="str">
        <f t="shared" si="1"/>
        <v/>
      </c>
      <c r="J900" s="68" t="str">
        <f t="shared" si="2"/>
        <v/>
      </c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5.75" customHeight="1">
      <c r="A901" s="34"/>
      <c r="B901" s="34"/>
      <c r="C901" s="34"/>
      <c r="D901" s="212"/>
      <c r="E901" s="34"/>
      <c r="F901" s="213"/>
      <c r="G901" s="213"/>
      <c r="H901" s="34"/>
      <c r="I901" s="68" t="str">
        <f t="shared" si="1"/>
        <v/>
      </c>
      <c r="J901" s="68" t="str">
        <f t="shared" si="2"/>
        <v/>
      </c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5.75" customHeight="1">
      <c r="A902" s="34"/>
      <c r="B902" s="34"/>
      <c r="C902" s="34"/>
      <c r="D902" s="212"/>
      <c r="E902" s="34"/>
      <c r="F902" s="213"/>
      <c r="G902" s="213"/>
      <c r="H902" s="34"/>
      <c r="I902" s="68" t="str">
        <f t="shared" si="1"/>
        <v/>
      </c>
      <c r="J902" s="68" t="str">
        <f t="shared" si="2"/>
        <v/>
      </c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5.75" customHeight="1">
      <c r="A903" s="34"/>
      <c r="B903" s="34"/>
      <c r="C903" s="34"/>
      <c r="D903" s="212"/>
      <c r="E903" s="34"/>
      <c r="F903" s="213"/>
      <c r="G903" s="213"/>
      <c r="H903" s="34"/>
      <c r="I903" s="68" t="str">
        <f t="shared" si="1"/>
        <v/>
      </c>
      <c r="J903" s="68" t="str">
        <f t="shared" si="2"/>
        <v/>
      </c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5.75" customHeight="1">
      <c r="A904" s="34"/>
      <c r="B904" s="34"/>
      <c r="C904" s="34"/>
      <c r="D904" s="212"/>
      <c r="E904" s="34"/>
      <c r="F904" s="213"/>
      <c r="G904" s="213"/>
      <c r="H904" s="34"/>
      <c r="I904" s="68" t="str">
        <f t="shared" si="1"/>
        <v/>
      </c>
      <c r="J904" s="68" t="str">
        <f t="shared" si="2"/>
        <v/>
      </c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5.75" customHeight="1">
      <c r="A905" s="34"/>
      <c r="B905" s="34"/>
      <c r="C905" s="34"/>
      <c r="D905" s="212"/>
      <c r="E905" s="34"/>
      <c r="F905" s="213"/>
      <c r="G905" s="213"/>
      <c r="H905" s="34"/>
      <c r="I905" s="68" t="str">
        <f t="shared" si="1"/>
        <v/>
      </c>
      <c r="J905" s="68" t="str">
        <f t="shared" si="2"/>
        <v/>
      </c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5.75" customHeight="1">
      <c r="A906" s="34"/>
      <c r="B906" s="34"/>
      <c r="C906" s="34"/>
      <c r="D906" s="212"/>
      <c r="E906" s="34"/>
      <c r="F906" s="213"/>
      <c r="G906" s="213"/>
      <c r="H906" s="34"/>
      <c r="I906" s="68" t="str">
        <f t="shared" si="1"/>
        <v/>
      </c>
      <c r="J906" s="68" t="str">
        <f t="shared" si="2"/>
        <v/>
      </c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5.75" customHeight="1">
      <c r="A907" s="34"/>
      <c r="B907" s="34"/>
      <c r="C907" s="34"/>
      <c r="D907" s="212"/>
      <c r="E907" s="34"/>
      <c r="F907" s="213"/>
      <c r="G907" s="213"/>
      <c r="H907" s="34"/>
      <c r="I907" s="68" t="str">
        <f t="shared" si="1"/>
        <v/>
      </c>
      <c r="J907" s="68" t="str">
        <f t="shared" si="2"/>
        <v/>
      </c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5.75" customHeight="1">
      <c r="A908" s="34"/>
      <c r="B908" s="34"/>
      <c r="C908" s="34"/>
      <c r="D908" s="212"/>
      <c r="E908" s="34"/>
      <c r="F908" s="213"/>
      <c r="G908" s="213"/>
      <c r="H908" s="34"/>
      <c r="I908" s="68" t="str">
        <f t="shared" si="1"/>
        <v/>
      </c>
      <c r="J908" s="68" t="str">
        <f t="shared" si="2"/>
        <v/>
      </c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5.75" customHeight="1">
      <c r="A909" s="34"/>
      <c r="B909" s="34"/>
      <c r="C909" s="34"/>
      <c r="D909" s="212"/>
      <c r="E909" s="34"/>
      <c r="F909" s="213"/>
      <c r="G909" s="213"/>
      <c r="H909" s="34"/>
      <c r="I909" s="68" t="str">
        <f t="shared" si="1"/>
        <v/>
      </c>
      <c r="J909" s="68" t="str">
        <f t="shared" si="2"/>
        <v/>
      </c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5.75" customHeight="1">
      <c r="A910" s="34"/>
      <c r="B910" s="34"/>
      <c r="C910" s="34"/>
      <c r="D910" s="212"/>
      <c r="E910" s="34"/>
      <c r="F910" s="213"/>
      <c r="G910" s="213"/>
      <c r="H910" s="34"/>
      <c r="I910" s="214"/>
      <c r="J910" s="21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5.75" customHeight="1">
      <c r="A911" s="34"/>
      <c r="B911" s="34"/>
      <c r="C911" s="34"/>
      <c r="D911" s="212"/>
      <c r="E911" s="34"/>
      <c r="F911" s="213"/>
      <c r="G911" s="213"/>
      <c r="H911" s="34"/>
      <c r="I911" s="214"/>
      <c r="J911" s="21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5.75" customHeight="1">
      <c r="A912" s="34"/>
      <c r="B912" s="34"/>
      <c r="C912" s="34"/>
      <c r="D912" s="212"/>
      <c r="E912" s="34"/>
      <c r="F912" s="213"/>
      <c r="G912" s="213"/>
      <c r="H912" s="34"/>
      <c r="I912" s="214"/>
      <c r="J912" s="21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5.75" customHeight="1">
      <c r="A913" s="34"/>
      <c r="B913" s="34"/>
      <c r="C913" s="34"/>
      <c r="D913" s="212"/>
      <c r="E913" s="34"/>
      <c r="F913" s="213"/>
      <c r="G913" s="213"/>
      <c r="H913" s="34"/>
      <c r="I913" s="214"/>
      <c r="J913" s="21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5.75" customHeight="1">
      <c r="A914" s="34"/>
      <c r="B914" s="34"/>
      <c r="C914" s="34"/>
      <c r="D914" s="212"/>
      <c r="E914" s="34"/>
      <c r="F914" s="213"/>
      <c r="G914" s="213"/>
      <c r="H914" s="34"/>
      <c r="I914" s="214"/>
      <c r="J914" s="21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5.75" customHeight="1">
      <c r="A915" s="34"/>
      <c r="B915" s="34"/>
      <c r="C915" s="34"/>
      <c r="D915" s="212"/>
      <c r="E915" s="34"/>
      <c r="F915" s="213"/>
      <c r="G915" s="213"/>
      <c r="H915" s="34"/>
      <c r="I915" s="214"/>
      <c r="J915" s="21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5.75" customHeight="1">
      <c r="A916" s="34"/>
      <c r="B916" s="34"/>
      <c r="C916" s="34"/>
      <c r="D916" s="212"/>
      <c r="E916" s="34"/>
      <c r="F916" s="213"/>
      <c r="G916" s="213"/>
      <c r="H916" s="34"/>
      <c r="I916" s="214"/>
      <c r="J916" s="21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5.75" customHeight="1">
      <c r="A917" s="34"/>
      <c r="B917" s="34"/>
      <c r="C917" s="34"/>
      <c r="D917" s="212"/>
      <c r="E917" s="34"/>
      <c r="F917" s="213"/>
      <c r="G917" s="213"/>
      <c r="H917" s="34"/>
      <c r="I917" s="214"/>
      <c r="J917" s="21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5.75" customHeight="1">
      <c r="A918" s="34"/>
      <c r="B918" s="34"/>
      <c r="C918" s="34"/>
      <c r="D918" s="212"/>
      <c r="E918" s="34"/>
      <c r="F918" s="213"/>
      <c r="G918" s="213"/>
      <c r="H918" s="34"/>
      <c r="I918" s="214"/>
      <c r="J918" s="21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5.75" customHeight="1">
      <c r="A919" s="34"/>
      <c r="B919" s="34"/>
      <c r="C919" s="34"/>
      <c r="D919" s="212"/>
      <c r="E919" s="34"/>
      <c r="F919" s="213"/>
      <c r="G919" s="213"/>
      <c r="H919" s="34"/>
      <c r="I919" s="214"/>
      <c r="J919" s="21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5.75" customHeight="1">
      <c r="A920" s="34"/>
      <c r="B920" s="34"/>
      <c r="C920" s="34"/>
      <c r="D920" s="212"/>
      <c r="E920" s="34"/>
      <c r="F920" s="213"/>
      <c r="G920" s="213"/>
      <c r="H920" s="34"/>
      <c r="I920" s="214"/>
      <c r="J920" s="21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5.75" customHeight="1">
      <c r="A921" s="34"/>
      <c r="B921" s="34"/>
      <c r="C921" s="34"/>
      <c r="D921" s="212"/>
      <c r="E921" s="34"/>
      <c r="F921" s="213"/>
      <c r="G921" s="213"/>
      <c r="H921" s="34"/>
      <c r="I921" s="214"/>
      <c r="J921" s="21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5.75" customHeight="1">
      <c r="A922" s="34"/>
      <c r="B922" s="34"/>
      <c r="C922" s="34"/>
      <c r="D922" s="212"/>
      <c r="E922" s="34"/>
      <c r="F922" s="213"/>
      <c r="G922" s="213"/>
      <c r="H922" s="34"/>
      <c r="I922" s="214"/>
      <c r="J922" s="21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5.75" customHeight="1">
      <c r="A923" s="34"/>
      <c r="B923" s="34"/>
      <c r="C923" s="34"/>
      <c r="D923" s="212"/>
      <c r="E923" s="34"/>
      <c r="F923" s="213"/>
      <c r="G923" s="213"/>
      <c r="H923" s="34"/>
      <c r="I923" s="214"/>
      <c r="J923" s="21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5.75" customHeight="1">
      <c r="A924" s="34"/>
      <c r="B924" s="34"/>
      <c r="C924" s="34"/>
      <c r="D924" s="212"/>
      <c r="E924" s="34"/>
      <c r="F924" s="213"/>
      <c r="G924" s="213"/>
      <c r="H924" s="34"/>
      <c r="I924" s="214"/>
      <c r="J924" s="21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5.75" customHeight="1">
      <c r="A925" s="34"/>
      <c r="B925" s="34"/>
      <c r="C925" s="34"/>
      <c r="D925" s="212"/>
      <c r="E925" s="34"/>
      <c r="F925" s="213"/>
      <c r="G925" s="213"/>
      <c r="H925" s="34"/>
      <c r="I925" s="214"/>
      <c r="J925" s="21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5.75" customHeight="1">
      <c r="A926" s="34"/>
      <c r="B926" s="34"/>
      <c r="C926" s="34"/>
      <c r="D926" s="212"/>
      <c r="E926" s="34"/>
      <c r="F926" s="213"/>
      <c r="G926" s="213"/>
      <c r="H926" s="34"/>
      <c r="I926" s="214"/>
      <c r="J926" s="21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5.75" customHeight="1">
      <c r="A927" s="34"/>
      <c r="B927" s="34"/>
      <c r="C927" s="34"/>
      <c r="D927" s="212"/>
      <c r="E927" s="34"/>
      <c r="F927" s="213"/>
      <c r="G927" s="213"/>
      <c r="H927" s="34"/>
      <c r="I927" s="214"/>
      <c r="J927" s="21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5.75" customHeight="1">
      <c r="A928" s="34"/>
      <c r="B928" s="34"/>
      <c r="C928" s="34"/>
      <c r="D928" s="212"/>
      <c r="E928" s="34"/>
      <c r="F928" s="213"/>
      <c r="G928" s="213"/>
      <c r="H928" s="34"/>
      <c r="I928" s="214"/>
      <c r="J928" s="21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5.75" customHeight="1">
      <c r="A929" s="34"/>
      <c r="B929" s="34"/>
      <c r="C929" s="34"/>
      <c r="D929" s="212"/>
      <c r="E929" s="34"/>
      <c r="F929" s="213"/>
      <c r="G929" s="213"/>
      <c r="H929" s="34"/>
      <c r="I929" s="214"/>
      <c r="J929" s="21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5.75" customHeight="1">
      <c r="A930" s="34"/>
      <c r="B930" s="34"/>
      <c r="C930" s="34"/>
      <c r="D930" s="212"/>
      <c r="E930" s="34"/>
      <c r="F930" s="213"/>
      <c r="G930" s="213"/>
      <c r="H930" s="34"/>
      <c r="I930" s="214"/>
      <c r="J930" s="21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5.75" customHeight="1">
      <c r="A931" s="34"/>
      <c r="B931" s="34"/>
      <c r="C931" s="34"/>
      <c r="D931" s="212"/>
      <c r="E931" s="34"/>
      <c r="F931" s="213"/>
      <c r="G931" s="213"/>
      <c r="H931" s="34"/>
      <c r="I931" s="214"/>
      <c r="J931" s="21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5.75" customHeight="1">
      <c r="A932" s="34"/>
      <c r="B932" s="34"/>
      <c r="C932" s="34"/>
      <c r="D932" s="212"/>
      <c r="E932" s="34"/>
      <c r="F932" s="213"/>
      <c r="G932" s="213"/>
      <c r="H932" s="34"/>
      <c r="I932" s="214"/>
      <c r="J932" s="21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5.75" customHeight="1">
      <c r="A933" s="34"/>
      <c r="B933" s="34"/>
      <c r="C933" s="34"/>
      <c r="D933" s="212"/>
      <c r="E933" s="34"/>
      <c r="F933" s="213"/>
      <c r="G933" s="213"/>
      <c r="H933" s="34"/>
      <c r="I933" s="214"/>
      <c r="J933" s="21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5.75" customHeight="1">
      <c r="A934" s="34"/>
      <c r="B934" s="34"/>
      <c r="C934" s="34"/>
      <c r="D934" s="212"/>
      <c r="E934" s="34"/>
      <c r="F934" s="213"/>
      <c r="G934" s="213"/>
      <c r="H934" s="34"/>
      <c r="I934" s="214"/>
      <c r="J934" s="21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5.75" customHeight="1">
      <c r="A935" s="34"/>
      <c r="B935" s="34"/>
      <c r="C935" s="34"/>
      <c r="D935" s="212"/>
      <c r="E935" s="34"/>
      <c r="F935" s="213"/>
      <c r="G935" s="213"/>
      <c r="H935" s="34"/>
      <c r="I935" s="214"/>
      <c r="J935" s="21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5.75" customHeight="1">
      <c r="A936" s="34"/>
      <c r="B936" s="34"/>
      <c r="C936" s="34"/>
      <c r="D936" s="212"/>
      <c r="E936" s="34"/>
      <c r="F936" s="213"/>
      <c r="G936" s="213"/>
      <c r="H936" s="34"/>
      <c r="I936" s="214"/>
      <c r="J936" s="21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5.75" customHeight="1">
      <c r="A937" s="34"/>
      <c r="B937" s="34"/>
      <c r="C937" s="34"/>
      <c r="D937" s="212"/>
      <c r="E937" s="34"/>
      <c r="F937" s="213"/>
      <c r="G937" s="213"/>
      <c r="H937" s="34"/>
      <c r="I937" s="214"/>
      <c r="J937" s="21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5.75" customHeight="1">
      <c r="A938" s="34"/>
      <c r="B938" s="34"/>
      <c r="C938" s="34"/>
      <c r="D938" s="212"/>
      <c r="E938" s="34"/>
      <c r="F938" s="213"/>
      <c r="G938" s="213"/>
      <c r="H938" s="34"/>
      <c r="I938" s="214"/>
      <c r="J938" s="21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5.75" customHeight="1">
      <c r="A939" s="34"/>
      <c r="B939" s="34"/>
      <c r="C939" s="34"/>
      <c r="D939" s="212"/>
      <c r="E939" s="34"/>
      <c r="F939" s="213"/>
      <c r="G939" s="213"/>
      <c r="H939" s="34"/>
      <c r="I939" s="214"/>
      <c r="J939" s="21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5.75" customHeight="1">
      <c r="A940" s="34"/>
      <c r="B940" s="34"/>
      <c r="C940" s="34"/>
      <c r="D940" s="212"/>
      <c r="E940" s="34"/>
      <c r="F940" s="213"/>
      <c r="G940" s="213"/>
      <c r="H940" s="34"/>
      <c r="I940" s="214"/>
      <c r="J940" s="21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5.75" customHeight="1">
      <c r="A941" s="34"/>
      <c r="B941" s="34"/>
      <c r="C941" s="34"/>
      <c r="D941" s="212"/>
      <c r="E941" s="34"/>
      <c r="F941" s="213"/>
      <c r="G941" s="213"/>
      <c r="H941" s="34"/>
      <c r="I941" s="214"/>
      <c r="J941" s="21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5.75" customHeight="1">
      <c r="A942" s="34"/>
      <c r="B942" s="34"/>
      <c r="C942" s="34"/>
      <c r="D942" s="212"/>
      <c r="E942" s="34"/>
      <c r="F942" s="213"/>
      <c r="G942" s="213"/>
      <c r="H942" s="34"/>
      <c r="I942" s="214"/>
      <c r="J942" s="21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5.75" customHeight="1">
      <c r="A943" s="34"/>
      <c r="B943" s="34"/>
      <c r="C943" s="34"/>
      <c r="D943" s="212"/>
      <c r="E943" s="34"/>
      <c r="F943" s="213"/>
      <c r="G943" s="213"/>
      <c r="H943" s="34"/>
      <c r="I943" s="214"/>
      <c r="J943" s="21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5.75" customHeight="1">
      <c r="A944" s="34"/>
      <c r="B944" s="34"/>
      <c r="C944" s="34"/>
      <c r="D944" s="212"/>
      <c r="E944" s="34"/>
      <c r="F944" s="213"/>
      <c r="G944" s="213"/>
      <c r="H944" s="34"/>
      <c r="I944" s="214"/>
      <c r="J944" s="21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5.75" customHeight="1">
      <c r="A945" s="34"/>
      <c r="B945" s="34"/>
      <c r="C945" s="34"/>
      <c r="D945" s="212"/>
      <c r="E945" s="34"/>
      <c r="F945" s="213"/>
      <c r="G945" s="213"/>
      <c r="H945" s="34"/>
      <c r="I945" s="214"/>
      <c r="J945" s="21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5.75" customHeight="1">
      <c r="A946" s="34"/>
      <c r="B946" s="34"/>
      <c r="C946" s="34"/>
      <c r="D946" s="212"/>
      <c r="E946" s="34"/>
      <c r="F946" s="213"/>
      <c r="G946" s="213"/>
      <c r="H946" s="34"/>
      <c r="I946" s="214"/>
      <c r="J946" s="21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5.75" customHeight="1">
      <c r="A947" s="34"/>
      <c r="B947" s="34"/>
      <c r="C947" s="34"/>
      <c r="D947" s="212"/>
      <c r="E947" s="34"/>
      <c r="F947" s="213"/>
      <c r="G947" s="213"/>
      <c r="H947" s="34"/>
      <c r="I947" s="214"/>
      <c r="J947" s="21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5.75" customHeight="1">
      <c r="A948" s="34"/>
      <c r="B948" s="34"/>
      <c r="C948" s="34"/>
      <c r="D948" s="212"/>
      <c r="E948" s="34"/>
      <c r="F948" s="213"/>
      <c r="G948" s="213"/>
      <c r="H948" s="34"/>
      <c r="I948" s="214"/>
      <c r="J948" s="21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5.75" customHeight="1">
      <c r="A949" s="34"/>
      <c r="B949" s="34"/>
      <c r="C949" s="34"/>
      <c r="D949" s="212"/>
      <c r="E949" s="34"/>
      <c r="F949" s="213"/>
      <c r="G949" s="213"/>
      <c r="H949" s="34"/>
      <c r="I949" s="214"/>
      <c r="J949" s="21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5.75" customHeight="1">
      <c r="A950" s="34"/>
      <c r="B950" s="34"/>
      <c r="C950" s="34"/>
      <c r="D950" s="212"/>
      <c r="E950" s="34"/>
      <c r="F950" s="213"/>
      <c r="G950" s="213"/>
      <c r="H950" s="34"/>
      <c r="I950" s="214"/>
      <c r="J950" s="21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5.75" customHeight="1">
      <c r="A951" s="34"/>
      <c r="B951" s="34"/>
      <c r="C951" s="34"/>
      <c r="D951" s="212"/>
      <c r="E951" s="34"/>
      <c r="F951" s="213"/>
      <c r="G951" s="213"/>
      <c r="H951" s="34"/>
      <c r="I951" s="214"/>
      <c r="J951" s="21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5.75" customHeight="1">
      <c r="A952" s="34"/>
      <c r="B952" s="34"/>
      <c r="C952" s="34"/>
      <c r="D952" s="212"/>
      <c r="E952" s="34"/>
      <c r="F952" s="213"/>
      <c r="G952" s="213"/>
      <c r="H952" s="34"/>
      <c r="I952" s="214"/>
      <c r="J952" s="21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5.75" customHeight="1">
      <c r="A953" s="34"/>
      <c r="B953" s="34"/>
      <c r="C953" s="34"/>
      <c r="D953" s="212"/>
      <c r="E953" s="34"/>
      <c r="F953" s="213"/>
      <c r="G953" s="213"/>
      <c r="H953" s="34"/>
      <c r="I953" s="214"/>
      <c r="J953" s="21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5.75" customHeight="1">
      <c r="A954" s="34"/>
      <c r="B954" s="34"/>
      <c r="C954" s="34"/>
      <c r="D954" s="212"/>
      <c r="E954" s="34"/>
      <c r="F954" s="213"/>
      <c r="G954" s="213"/>
      <c r="H954" s="34"/>
      <c r="I954" s="214"/>
      <c r="J954" s="21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5.75" customHeight="1">
      <c r="A955" s="34"/>
      <c r="B955" s="34"/>
      <c r="C955" s="34"/>
      <c r="D955" s="212"/>
      <c r="E955" s="34"/>
      <c r="F955" s="213"/>
      <c r="G955" s="213"/>
      <c r="H955" s="34"/>
      <c r="I955" s="214"/>
      <c r="J955" s="21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5.75" customHeight="1">
      <c r="A956" s="34"/>
      <c r="B956" s="34"/>
      <c r="C956" s="34"/>
      <c r="D956" s="212"/>
      <c r="E956" s="34"/>
      <c r="F956" s="213"/>
      <c r="G956" s="213"/>
      <c r="H956" s="34"/>
      <c r="I956" s="214"/>
      <c r="J956" s="21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5.75" customHeight="1">
      <c r="A957" s="34"/>
      <c r="B957" s="34"/>
      <c r="C957" s="34"/>
      <c r="D957" s="212"/>
      <c r="E957" s="34"/>
      <c r="F957" s="213"/>
      <c r="G957" s="213"/>
      <c r="H957" s="34"/>
      <c r="I957" s="214"/>
      <c r="J957" s="21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5.75" customHeight="1">
      <c r="A958" s="34"/>
      <c r="B958" s="34"/>
      <c r="C958" s="34"/>
      <c r="D958" s="212"/>
      <c r="E958" s="34"/>
      <c r="F958" s="213"/>
      <c r="G958" s="213"/>
      <c r="H958" s="34"/>
      <c r="I958" s="214"/>
      <c r="J958" s="21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5.75" customHeight="1">
      <c r="A959" s="34"/>
      <c r="B959" s="34"/>
      <c r="C959" s="34"/>
      <c r="D959" s="212"/>
      <c r="E959" s="34"/>
      <c r="F959" s="213"/>
      <c r="G959" s="213"/>
      <c r="H959" s="34"/>
      <c r="I959" s="214"/>
      <c r="J959" s="21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5.75" customHeight="1">
      <c r="A960" s="34"/>
      <c r="B960" s="34"/>
      <c r="C960" s="34"/>
      <c r="D960" s="212"/>
      <c r="E960" s="34"/>
      <c r="F960" s="213"/>
      <c r="G960" s="213"/>
      <c r="H960" s="34"/>
      <c r="I960" s="214"/>
      <c r="J960" s="21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5.75" customHeight="1">
      <c r="A961" s="34"/>
      <c r="B961" s="34"/>
      <c r="C961" s="34"/>
      <c r="D961" s="212"/>
      <c r="E961" s="34"/>
      <c r="F961" s="213"/>
      <c r="G961" s="213"/>
      <c r="H961" s="34"/>
      <c r="I961" s="214"/>
      <c r="J961" s="21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5.75" customHeight="1">
      <c r="A962" s="34"/>
      <c r="B962" s="34"/>
      <c r="C962" s="34"/>
      <c r="D962" s="212"/>
      <c r="E962" s="34"/>
      <c r="F962" s="213"/>
      <c r="G962" s="213"/>
      <c r="H962" s="34"/>
      <c r="I962" s="214"/>
      <c r="J962" s="21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5.75" customHeight="1">
      <c r="A963" s="34"/>
      <c r="B963" s="34"/>
      <c r="C963" s="34"/>
      <c r="D963" s="212"/>
      <c r="E963" s="34"/>
      <c r="F963" s="213"/>
      <c r="G963" s="213"/>
      <c r="H963" s="34"/>
      <c r="I963" s="214"/>
      <c r="J963" s="21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5.75" customHeight="1">
      <c r="A964" s="34"/>
      <c r="B964" s="34"/>
      <c r="C964" s="34"/>
      <c r="D964" s="212"/>
      <c r="E964" s="34"/>
      <c r="F964" s="213"/>
      <c r="G964" s="213"/>
      <c r="H964" s="34"/>
      <c r="I964" s="214"/>
      <c r="J964" s="21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5.75" customHeight="1">
      <c r="A965" s="34"/>
      <c r="B965" s="34"/>
      <c r="C965" s="34"/>
      <c r="D965" s="212"/>
      <c r="E965" s="34"/>
      <c r="F965" s="213"/>
      <c r="G965" s="213"/>
      <c r="H965" s="34"/>
      <c r="I965" s="214"/>
      <c r="J965" s="21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5.75" customHeight="1">
      <c r="A966" s="34"/>
      <c r="B966" s="34"/>
      <c r="C966" s="34"/>
      <c r="D966" s="212"/>
      <c r="E966" s="34"/>
      <c r="F966" s="213"/>
      <c r="G966" s="213"/>
      <c r="H966" s="34"/>
      <c r="I966" s="214"/>
      <c r="J966" s="21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5.75" customHeight="1">
      <c r="A967" s="34"/>
      <c r="B967" s="34"/>
      <c r="C967" s="34"/>
      <c r="D967" s="212"/>
      <c r="E967" s="34"/>
      <c r="F967" s="213"/>
      <c r="G967" s="213"/>
      <c r="H967" s="34"/>
      <c r="I967" s="214"/>
      <c r="J967" s="21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5.75" customHeight="1">
      <c r="A968" s="34"/>
      <c r="B968" s="34"/>
      <c r="C968" s="34"/>
      <c r="D968" s="212"/>
      <c r="E968" s="34"/>
      <c r="F968" s="213"/>
      <c r="G968" s="213"/>
      <c r="H968" s="34"/>
      <c r="I968" s="214"/>
      <c r="J968" s="21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5.75" customHeight="1">
      <c r="A969" s="34"/>
      <c r="B969" s="34"/>
      <c r="C969" s="34"/>
      <c r="D969" s="212"/>
      <c r="E969" s="34"/>
      <c r="F969" s="213"/>
      <c r="G969" s="213"/>
      <c r="H969" s="34"/>
      <c r="I969" s="214"/>
      <c r="J969" s="21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5.75" customHeight="1">
      <c r="A970" s="34"/>
      <c r="B970" s="34"/>
      <c r="C970" s="34"/>
      <c r="D970" s="212"/>
      <c r="E970" s="34"/>
      <c r="F970" s="213"/>
      <c r="G970" s="213"/>
      <c r="H970" s="34"/>
      <c r="I970" s="214"/>
      <c r="J970" s="21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5.75" customHeight="1">
      <c r="A971" s="34"/>
      <c r="B971" s="34"/>
      <c r="C971" s="34"/>
      <c r="D971" s="212"/>
      <c r="E971" s="34"/>
      <c r="F971" s="213"/>
      <c r="G971" s="213"/>
      <c r="H971" s="34"/>
      <c r="I971" s="214"/>
      <c r="J971" s="21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5.75" customHeight="1">
      <c r="A972" s="34"/>
      <c r="B972" s="34"/>
      <c r="C972" s="34"/>
      <c r="D972" s="212"/>
      <c r="E972" s="34"/>
      <c r="F972" s="213"/>
      <c r="G972" s="213"/>
      <c r="H972" s="34"/>
      <c r="I972" s="214"/>
      <c r="J972" s="21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5.75" customHeight="1">
      <c r="A973" s="34"/>
      <c r="B973" s="34"/>
      <c r="C973" s="34"/>
      <c r="D973" s="212"/>
      <c r="E973" s="34"/>
      <c r="F973" s="213"/>
      <c r="G973" s="213"/>
      <c r="H973" s="34"/>
      <c r="I973" s="214"/>
      <c r="J973" s="21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5.75" customHeight="1">
      <c r="A974" s="34"/>
      <c r="B974" s="34"/>
      <c r="C974" s="34"/>
      <c r="D974" s="212"/>
      <c r="E974" s="34"/>
      <c r="F974" s="213"/>
      <c r="G974" s="213"/>
      <c r="H974" s="34"/>
      <c r="I974" s="214"/>
      <c r="J974" s="21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5.75" customHeight="1">
      <c r="A975" s="34"/>
      <c r="B975" s="34"/>
      <c r="C975" s="34"/>
      <c r="D975" s="212"/>
      <c r="E975" s="34"/>
      <c r="F975" s="213"/>
      <c r="G975" s="213"/>
      <c r="H975" s="34"/>
      <c r="I975" s="214"/>
      <c r="J975" s="21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5.75" customHeight="1">
      <c r="A976" s="34"/>
      <c r="B976" s="34"/>
      <c r="C976" s="34"/>
      <c r="D976" s="212"/>
      <c r="E976" s="34"/>
      <c r="F976" s="213"/>
      <c r="G976" s="213"/>
      <c r="H976" s="34"/>
      <c r="I976" s="214"/>
      <c r="J976" s="21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5.75" customHeight="1">
      <c r="A977" s="34"/>
      <c r="B977" s="34"/>
      <c r="C977" s="34"/>
      <c r="D977" s="212"/>
      <c r="E977" s="34"/>
      <c r="F977" s="213"/>
      <c r="G977" s="213"/>
      <c r="H977" s="34"/>
      <c r="I977" s="214"/>
      <c r="J977" s="21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5.75" customHeight="1">
      <c r="A978" s="34"/>
      <c r="B978" s="34"/>
      <c r="C978" s="34"/>
      <c r="D978" s="212"/>
      <c r="E978" s="34"/>
      <c r="F978" s="213"/>
      <c r="G978" s="213"/>
      <c r="H978" s="34"/>
      <c r="I978" s="214"/>
      <c r="J978" s="21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5.75" customHeight="1">
      <c r="A979" s="34"/>
      <c r="B979" s="34"/>
      <c r="C979" s="34"/>
      <c r="D979" s="212"/>
      <c r="E979" s="34"/>
      <c r="F979" s="213"/>
      <c r="G979" s="213"/>
      <c r="H979" s="34"/>
      <c r="I979" s="214"/>
      <c r="J979" s="21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5.75" customHeight="1">
      <c r="A980" s="34"/>
      <c r="B980" s="34"/>
      <c r="C980" s="34"/>
      <c r="D980" s="212"/>
      <c r="E980" s="34"/>
      <c r="F980" s="213"/>
      <c r="G980" s="213"/>
      <c r="H980" s="34"/>
      <c r="I980" s="214"/>
      <c r="J980" s="21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5.75" customHeight="1">
      <c r="A981" s="34"/>
      <c r="B981" s="34"/>
      <c r="C981" s="34"/>
      <c r="D981" s="212"/>
      <c r="E981" s="34"/>
      <c r="F981" s="213"/>
      <c r="G981" s="213"/>
      <c r="H981" s="34"/>
      <c r="I981" s="214"/>
      <c r="J981" s="21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5.75" customHeight="1">
      <c r="A982" s="34"/>
      <c r="B982" s="34"/>
      <c r="C982" s="34"/>
      <c r="D982" s="212"/>
      <c r="E982" s="34"/>
      <c r="F982" s="213"/>
      <c r="G982" s="213"/>
      <c r="H982" s="34"/>
      <c r="I982" s="214"/>
      <c r="J982" s="21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5.75" customHeight="1">
      <c r="A983" s="34"/>
      <c r="B983" s="34"/>
      <c r="C983" s="34"/>
      <c r="D983" s="212"/>
      <c r="E983" s="34"/>
      <c r="F983" s="213"/>
      <c r="G983" s="213"/>
      <c r="H983" s="34"/>
      <c r="I983" s="214"/>
      <c r="J983" s="21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5.75" customHeight="1">
      <c r="A984" s="34"/>
      <c r="B984" s="34"/>
      <c r="C984" s="34"/>
      <c r="D984" s="212"/>
      <c r="E984" s="34"/>
      <c r="F984" s="213"/>
      <c r="G984" s="213"/>
      <c r="H984" s="34"/>
      <c r="I984" s="214"/>
      <c r="J984" s="21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5.75" customHeight="1">
      <c r="A985" s="34"/>
      <c r="B985" s="34"/>
      <c r="C985" s="34"/>
      <c r="D985" s="212"/>
      <c r="E985" s="34"/>
      <c r="F985" s="213"/>
      <c r="G985" s="213"/>
      <c r="H985" s="34"/>
      <c r="I985" s="214"/>
      <c r="J985" s="21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5.75" customHeight="1">
      <c r="A986" s="34"/>
      <c r="B986" s="34"/>
      <c r="C986" s="34"/>
      <c r="D986" s="212"/>
      <c r="E986" s="34"/>
      <c r="F986" s="213"/>
      <c r="G986" s="213"/>
      <c r="H986" s="34"/>
      <c r="I986" s="214"/>
      <c r="J986" s="21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5.75" customHeight="1">
      <c r="A987" s="34"/>
      <c r="B987" s="34"/>
      <c r="C987" s="34"/>
      <c r="D987" s="212"/>
      <c r="E987" s="34"/>
      <c r="F987" s="213"/>
      <c r="G987" s="213"/>
      <c r="H987" s="34"/>
      <c r="I987" s="214"/>
      <c r="J987" s="21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5.75" customHeight="1">
      <c r="A988" s="34"/>
      <c r="B988" s="34"/>
      <c r="C988" s="34"/>
      <c r="D988" s="212"/>
      <c r="E988" s="34"/>
      <c r="F988" s="213"/>
      <c r="G988" s="213"/>
      <c r="H988" s="34"/>
      <c r="I988" s="214"/>
      <c r="J988" s="21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5.75" customHeight="1">
      <c r="A989" s="34"/>
      <c r="B989" s="34"/>
      <c r="C989" s="34"/>
      <c r="D989" s="212"/>
      <c r="E989" s="34"/>
      <c r="F989" s="213"/>
      <c r="G989" s="213"/>
      <c r="H989" s="34"/>
      <c r="I989" s="214"/>
      <c r="J989" s="21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5.75" customHeight="1">
      <c r="A990" s="34"/>
      <c r="B990" s="34"/>
      <c r="C990" s="34"/>
      <c r="D990" s="212"/>
      <c r="E990" s="34"/>
      <c r="F990" s="213"/>
      <c r="G990" s="213"/>
      <c r="H990" s="34"/>
      <c r="I990" s="214"/>
      <c r="J990" s="21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5.75" customHeight="1">
      <c r="A991" s="34"/>
      <c r="B991" s="34"/>
      <c r="C991" s="34"/>
      <c r="D991" s="212"/>
      <c r="E991" s="34"/>
      <c r="F991" s="213"/>
      <c r="G991" s="213"/>
      <c r="H991" s="34"/>
      <c r="I991" s="214"/>
      <c r="J991" s="21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5.75" customHeight="1">
      <c r="A992" s="34"/>
      <c r="B992" s="34"/>
      <c r="C992" s="34"/>
      <c r="D992" s="212"/>
      <c r="E992" s="34"/>
      <c r="F992" s="213"/>
      <c r="G992" s="213"/>
      <c r="H992" s="34"/>
      <c r="I992" s="214"/>
      <c r="J992" s="21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5.75" customHeight="1">
      <c r="A993" s="34"/>
      <c r="B993" s="34"/>
      <c r="C993" s="34"/>
      <c r="D993" s="212"/>
      <c r="E993" s="34"/>
      <c r="F993" s="213"/>
      <c r="G993" s="213"/>
      <c r="H993" s="34"/>
      <c r="I993" s="214"/>
      <c r="J993" s="21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5.75" customHeight="1">
      <c r="A994" s="34"/>
      <c r="B994" s="34"/>
      <c r="C994" s="34"/>
      <c r="D994" s="212"/>
      <c r="E994" s="34"/>
      <c r="F994" s="213"/>
      <c r="G994" s="213"/>
      <c r="H994" s="34"/>
      <c r="I994" s="214"/>
      <c r="J994" s="21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5.75" customHeight="1">
      <c r="A995" s="34"/>
      <c r="B995" s="34"/>
      <c r="C995" s="34"/>
      <c r="D995" s="212"/>
      <c r="E995" s="34"/>
      <c r="F995" s="213"/>
      <c r="G995" s="213"/>
      <c r="H995" s="34"/>
      <c r="I995" s="214"/>
      <c r="J995" s="21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5.75" customHeight="1">
      <c r="A996" s="34"/>
      <c r="B996" s="34"/>
      <c r="C996" s="34"/>
      <c r="D996" s="212"/>
      <c r="E996" s="34"/>
      <c r="F996" s="213"/>
      <c r="G996" s="213"/>
      <c r="H996" s="34"/>
      <c r="I996" s="214"/>
      <c r="J996" s="21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5.75" customHeight="1">
      <c r="A997" s="34"/>
      <c r="B997" s="34"/>
      <c r="C997" s="34"/>
      <c r="D997" s="212"/>
      <c r="E997" s="34"/>
      <c r="F997" s="213"/>
      <c r="G997" s="213"/>
      <c r="H997" s="34"/>
      <c r="I997" s="214"/>
      <c r="J997" s="21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5.75" customHeight="1">
      <c r="A998" s="34"/>
      <c r="B998" s="34"/>
      <c r="C998" s="34"/>
      <c r="D998" s="212"/>
      <c r="E998" s="34"/>
      <c r="F998" s="213"/>
      <c r="G998" s="213"/>
      <c r="H998" s="34"/>
      <c r="I998" s="214"/>
      <c r="J998" s="21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5.75" customHeight="1">
      <c r="A999" s="34"/>
      <c r="B999" s="34"/>
      <c r="C999" s="34"/>
      <c r="D999" s="212"/>
      <c r="E999" s="34"/>
      <c r="F999" s="213"/>
      <c r="G999" s="213"/>
      <c r="H999" s="34"/>
      <c r="I999" s="214"/>
      <c r="J999" s="21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5.75" customHeight="1">
      <c r="A1000" s="34"/>
      <c r="B1000" s="34"/>
      <c r="C1000" s="34"/>
      <c r="D1000" s="212"/>
      <c r="E1000" s="34"/>
      <c r="F1000" s="213"/>
      <c r="G1000" s="213"/>
      <c r="H1000" s="34"/>
      <c r="I1000" s="214"/>
      <c r="J1000" s="21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ht="15.75" customHeight="1">
      <c r="A1001" s="34"/>
      <c r="B1001" s="34"/>
      <c r="C1001" s="34"/>
      <c r="D1001" s="212"/>
      <c r="E1001" s="34"/>
      <c r="F1001" s="213"/>
      <c r="G1001" s="213"/>
      <c r="H1001" s="34"/>
      <c r="I1001" s="214"/>
      <c r="J1001" s="21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ht="15.75" customHeight="1">
      <c r="A1002" s="34"/>
      <c r="B1002" s="34"/>
      <c r="C1002" s="34"/>
      <c r="D1002" s="212"/>
      <c r="E1002" s="34"/>
      <c r="F1002" s="213"/>
      <c r="G1002" s="213"/>
      <c r="H1002" s="34"/>
      <c r="I1002" s="214"/>
      <c r="J1002" s="21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ht="15.75" customHeight="1">
      <c r="A1003" s="34"/>
      <c r="B1003" s="34"/>
      <c r="C1003" s="34"/>
      <c r="D1003" s="212"/>
      <c r="E1003" s="34"/>
      <c r="F1003" s="213"/>
      <c r="G1003" s="213"/>
      <c r="H1003" s="34"/>
      <c r="I1003" s="214"/>
      <c r="J1003" s="21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ht="15.75" customHeight="1">
      <c r="A1004" s="34"/>
      <c r="B1004" s="34"/>
      <c r="C1004" s="34"/>
      <c r="D1004" s="212"/>
      <c r="E1004" s="34"/>
      <c r="F1004" s="213"/>
      <c r="G1004" s="213"/>
      <c r="H1004" s="34"/>
      <c r="I1004" s="214"/>
      <c r="J1004" s="21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ht="15.75" customHeight="1">
      <c r="A1005" s="34"/>
      <c r="B1005" s="34"/>
      <c r="C1005" s="34"/>
      <c r="D1005" s="212"/>
      <c r="E1005" s="34"/>
      <c r="F1005" s="213"/>
      <c r="G1005" s="213"/>
      <c r="H1005" s="34"/>
      <c r="I1005" s="214"/>
      <c r="J1005" s="21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ht="15.75" customHeight="1">
      <c r="A1006" s="34"/>
      <c r="B1006" s="34"/>
      <c r="C1006" s="34"/>
      <c r="D1006" s="212"/>
      <c r="E1006" s="34"/>
      <c r="F1006" s="213"/>
      <c r="G1006" s="213"/>
      <c r="H1006" s="34"/>
      <c r="I1006" s="214"/>
      <c r="J1006" s="21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ht="15.75" customHeight="1">
      <c r="A1007" s="34"/>
      <c r="B1007" s="34"/>
      <c r="C1007" s="34"/>
      <c r="D1007" s="212"/>
      <c r="E1007" s="34"/>
      <c r="F1007" s="213"/>
      <c r="G1007" s="213"/>
      <c r="H1007" s="34"/>
      <c r="I1007" s="214"/>
      <c r="J1007" s="21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 ht="15.75" customHeight="1">
      <c r="A1008" s="34"/>
      <c r="B1008" s="34"/>
      <c r="C1008" s="34"/>
      <c r="D1008" s="212"/>
      <c r="E1008" s="34"/>
      <c r="F1008" s="213"/>
      <c r="G1008" s="213"/>
      <c r="H1008" s="34"/>
      <c r="I1008" s="214"/>
      <c r="J1008" s="21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 ht="15.75" customHeight="1">
      <c r="A1009" s="34"/>
      <c r="B1009" s="34"/>
      <c r="C1009" s="34"/>
      <c r="D1009" s="212"/>
      <c r="E1009" s="34"/>
      <c r="F1009" s="213"/>
      <c r="G1009" s="213"/>
      <c r="H1009" s="34"/>
      <c r="I1009" s="214"/>
      <c r="J1009" s="21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 ht="15.75" customHeight="1">
      <c r="A1010" s="34"/>
      <c r="B1010" s="34"/>
      <c r="C1010" s="34"/>
      <c r="D1010" s="212"/>
      <c r="E1010" s="34"/>
      <c r="F1010" s="213"/>
      <c r="G1010" s="213"/>
      <c r="H1010" s="34"/>
      <c r="I1010" s="214"/>
      <c r="J1010" s="21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 ht="15.75" customHeight="1">
      <c r="A1011" s="34"/>
      <c r="B1011" s="34"/>
      <c r="C1011" s="34"/>
      <c r="D1011" s="212"/>
      <c r="E1011" s="34"/>
      <c r="F1011" s="213"/>
      <c r="G1011" s="213"/>
      <c r="H1011" s="34"/>
      <c r="I1011" s="214"/>
      <c r="J1011" s="21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 ht="15.75" customHeight="1">
      <c r="A1012" s="34"/>
      <c r="B1012" s="34"/>
      <c r="C1012" s="34"/>
      <c r="D1012" s="212"/>
      <c r="E1012" s="34"/>
      <c r="F1012" s="213"/>
      <c r="G1012" s="213"/>
      <c r="H1012" s="34"/>
      <c r="I1012" s="214"/>
      <c r="J1012" s="21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 ht="15.75" customHeight="1">
      <c r="A1013" s="34"/>
      <c r="B1013" s="34"/>
      <c r="C1013" s="34"/>
      <c r="D1013" s="212"/>
      <c r="E1013" s="34"/>
      <c r="F1013" s="213"/>
      <c r="G1013" s="213"/>
      <c r="H1013" s="34"/>
      <c r="I1013" s="214"/>
      <c r="J1013" s="21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ht="15.75" customHeight="1">
      <c r="A1014" s="34"/>
      <c r="B1014" s="34"/>
      <c r="C1014" s="34"/>
      <c r="D1014" s="212"/>
      <c r="E1014" s="34"/>
      <c r="F1014" s="213"/>
      <c r="G1014" s="213"/>
      <c r="H1014" s="34"/>
      <c r="I1014" s="214"/>
      <c r="J1014" s="21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ht="15.75" customHeight="1">
      <c r="A1015" s="34"/>
      <c r="B1015" s="34"/>
      <c r="C1015" s="34"/>
      <c r="D1015" s="212"/>
      <c r="E1015" s="34"/>
      <c r="F1015" s="213"/>
      <c r="G1015" s="213"/>
      <c r="H1015" s="34"/>
      <c r="I1015" s="214"/>
      <c r="J1015" s="21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ht="15.75" customHeight="1">
      <c r="A1016" s="34"/>
      <c r="B1016" s="34"/>
      <c r="C1016" s="34"/>
      <c r="D1016" s="212"/>
      <c r="E1016" s="34"/>
      <c r="F1016" s="213"/>
      <c r="G1016" s="213"/>
      <c r="H1016" s="34"/>
      <c r="I1016" s="214"/>
      <c r="J1016" s="21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 ht="15.75" customHeight="1">
      <c r="A1017" s="34"/>
      <c r="B1017" s="34"/>
      <c r="C1017" s="34"/>
      <c r="D1017" s="212"/>
      <c r="E1017" s="34"/>
      <c r="F1017" s="213"/>
      <c r="G1017" s="213"/>
      <c r="H1017" s="34"/>
      <c r="I1017" s="214"/>
      <c r="J1017" s="21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 ht="15.75" customHeight="1">
      <c r="A1018" s="34"/>
      <c r="B1018" s="34"/>
      <c r="C1018" s="34"/>
      <c r="D1018" s="212"/>
      <c r="E1018" s="34"/>
      <c r="F1018" s="213"/>
      <c r="G1018" s="213"/>
      <c r="H1018" s="34"/>
      <c r="I1018" s="214"/>
      <c r="J1018" s="21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 ht="15.75" customHeight="1">
      <c r="A1019" s="34"/>
      <c r="B1019" s="34"/>
      <c r="C1019" s="34"/>
      <c r="D1019" s="212"/>
      <c r="E1019" s="34"/>
      <c r="F1019" s="213"/>
      <c r="G1019" s="213"/>
      <c r="H1019" s="34"/>
      <c r="I1019" s="214"/>
      <c r="J1019" s="21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 ht="15.75" customHeight="1">
      <c r="A1020" s="34"/>
      <c r="B1020" s="34"/>
      <c r="C1020" s="34"/>
      <c r="D1020" s="212"/>
      <c r="E1020" s="34"/>
      <c r="F1020" s="213"/>
      <c r="G1020" s="213"/>
      <c r="H1020" s="34"/>
      <c r="I1020" s="214"/>
      <c r="J1020" s="21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 ht="15.75" customHeight="1">
      <c r="A1021" s="34"/>
      <c r="B1021" s="34"/>
      <c r="C1021" s="34"/>
      <c r="D1021" s="212"/>
      <c r="E1021" s="34"/>
      <c r="F1021" s="213"/>
      <c r="G1021" s="213"/>
      <c r="H1021" s="34"/>
      <c r="I1021" s="214"/>
      <c r="J1021" s="21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ht="15.75" customHeight="1">
      <c r="A1022" s="34"/>
      <c r="B1022" s="34"/>
      <c r="C1022" s="34"/>
      <c r="D1022" s="212"/>
      <c r="E1022" s="34"/>
      <c r="F1022" s="213"/>
      <c r="G1022" s="213"/>
      <c r="H1022" s="34"/>
      <c r="I1022" s="214"/>
      <c r="J1022" s="21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 ht="15.75" customHeight="1">
      <c r="A1023" s="34"/>
      <c r="B1023" s="34"/>
      <c r="C1023" s="34"/>
      <c r="D1023" s="212"/>
      <c r="E1023" s="34"/>
      <c r="F1023" s="213"/>
      <c r="G1023" s="213"/>
      <c r="H1023" s="34"/>
      <c r="I1023" s="214"/>
      <c r="J1023" s="21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 ht="15.75" customHeight="1">
      <c r="A1024" s="34"/>
      <c r="B1024" s="34"/>
      <c r="C1024" s="34"/>
      <c r="D1024" s="212"/>
      <c r="E1024" s="34"/>
      <c r="F1024" s="213"/>
      <c r="G1024" s="213"/>
      <c r="H1024" s="34"/>
      <c r="I1024" s="214"/>
      <c r="J1024" s="21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 ht="15.75" customHeight="1">
      <c r="A1025" s="34"/>
      <c r="B1025" s="34"/>
      <c r="C1025" s="34"/>
      <c r="D1025" s="212"/>
      <c r="E1025" s="34"/>
      <c r="F1025" s="213"/>
      <c r="G1025" s="213"/>
      <c r="H1025" s="34"/>
      <c r="I1025" s="214"/>
      <c r="J1025" s="21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 ht="15.75" customHeight="1">
      <c r="A1026" s="34"/>
      <c r="B1026" s="34"/>
      <c r="C1026" s="34"/>
      <c r="D1026" s="212"/>
      <c r="E1026" s="34"/>
      <c r="F1026" s="213"/>
      <c r="G1026" s="213"/>
      <c r="H1026" s="34"/>
      <c r="I1026" s="214"/>
      <c r="J1026" s="21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 ht="15.75" customHeight="1">
      <c r="A1027" s="34"/>
      <c r="B1027" s="34"/>
      <c r="C1027" s="34"/>
      <c r="D1027" s="212"/>
      <c r="E1027" s="34"/>
      <c r="F1027" s="213"/>
      <c r="G1027" s="213"/>
      <c r="H1027" s="34"/>
      <c r="I1027" s="214"/>
      <c r="J1027" s="21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  <row r="1028" ht="15.75" customHeight="1">
      <c r="A1028" s="34"/>
      <c r="B1028" s="34"/>
      <c r="C1028" s="34"/>
      <c r="D1028" s="212"/>
      <c r="E1028" s="34"/>
      <c r="F1028" s="213"/>
      <c r="G1028" s="213"/>
      <c r="H1028" s="34"/>
      <c r="I1028" s="214"/>
      <c r="J1028" s="21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</row>
    <row r="1029" ht="15.75" customHeight="1">
      <c r="A1029" s="34"/>
      <c r="B1029" s="34"/>
      <c r="C1029" s="34"/>
      <c r="D1029" s="212"/>
      <c r="E1029" s="34"/>
      <c r="F1029" s="213"/>
      <c r="G1029" s="213"/>
      <c r="H1029" s="34"/>
      <c r="I1029" s="214"/>
      <c r="J1029" s="21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</row>
    <row r="1030" ht="15.75" customHeight="1">
      <c r="A1030" s="34"/>
      <c r="B1030" s="34"/>
      <c r="C1030" s="34"/>
      <c r="D1030" s="212"/>
      <c r="E1030" s="34"/>
      <c r="F1030" s="213"/>
      <c r="G1030" s="213"/>
      <c r="H1030" s="34"/>
      <c r="I1030" s="214"/>
      <c r="J1030" s="21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</row>
    <row r="1031" ht="15.75" customHeight="1">
      <c r="A1031" s="34"/>
      <c r="B1031" s="34"/>
      <c r="C1031" s="34"/>
      <c r="D1031" s="212"/>
      <c r="E1031" s="34"/>
      <c r="F1031" s="213"/>
      <c r="G1031" s="213"/>
      <c r="H1031" s="34"/>
      <c r="I1031" s="214"/>
      <c r="J1031" s="21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</row>
    <row r="1032" ht="15.75" customHeight="1">
      <c r="A1032" s="34"/>
      <c r="B1032" s="34"/>
      <c r="C1032" s="34"/>
      <c r="D1032" s="212"/>
      <c r="E1032" s="34"/>
      <c r="F1032" s="213"/>
      <c r="G1032" s="213"/>
      <c r="H1032" s="34"/>
      <c r="I1032" s="214"/>
      <c r="J1032" s="21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</row>
    <row r="1033" ht="15.75" customHeight="1">
      <c r="A1033" s="34"/>
      <c r="B1033" s="34"/>
      <c r="C1033" s="34"/>
      <c r="D1033" s="212"/>
      <c r="E1033" s="34"/>
      <c r="F1033" s="213"/>
      <c r="G1033" s="213"/>
      <c r="H1033" s="34"/>
      <c r="I1033" s="214"/>
      <c r="J1033" s="21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</row>
    <row r="1034" ht="15.75" customHeight="1">
      <c r="A1034" s="34"/>
      <c r="B1034" s="34"/>
      <c r="C1034" s="34"/>
      <c r="D1034" s="212"/>
      <c r="E1034" s="34"/>
      <c r="F1034" s="213"/>
      <c r="G1034" s="213"/>
      <c r="H1034" s="34"/>
      <c r="I1034" s="214"/>
      <c r="J1034" s="21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</row>
    <row r="1035" ht="15.75" customHeight="1">
      <c r="A1035" s="34"/>
      <c r="B1035" s="34"/>
      <c r="C1035" s="34"/>
      <c r="D1035" s="212"/>
      <c r="E1035" s="34"/>
      <c r="F1035" s="213"/>
      <c r="G1035" s="213"/>
      <c r="H1035" s="34"/>
      <c r="I1035" s="214"/>
      <c r="J1035" s="21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</row>
    <row r="1036" ht="15.75" customHeight="1">
      <c r="A1036" s="34"/>
      <c r="B1036" s="34"/>
      <c r="C1036" s="34"/>
      <c r="D1036" s="212"/>
      <c r="E1036" s="34"/>
      <c r="F1036" s="213"/>
      <c r="G1036" s="213"/>
      <c r="H1036" s="34"/>
      <c r="I1036" s="214"/>
      <c r="J1036" s="21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</row>
    <row r="1037" ht="15.75" customHeight="1">
      <c r="A1037" s="34"/>
      <c r="B1037" s="34"/>
      <c r="C1037" s="34"/>
      <c r="D1037" s="212"/>
      <c r="E1037" s="34"/>
      <c r="F1037" s="213"/>
      <c r="G1037" s="213"/>
      <c r="H1037" s="34"/>
      <c r="I1037" s="214"/>
      <c r="J1037" s="21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</row>
    <row r="1038" ht="15.75" customHeight="1">
      <c r="A1038" s="34"/>
      <c r="B1038" s="34"/>
      <c r="C1038" s="34"/>
      <c r="D1038" s="212"/>
      <c r="E1038" s="34"/>
      <c r="F1038" s="213"/>
      <c r="G1038" s="213"/>
      <c r="H1038" s="34"/>
      <c r="I1038" s="214"/>
      <c r="J1038" s="21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</row>
    <row r="1039" ht="15.75" customHeight="1">
      <c r="A1039" s="34"/>
      <c r="B1039" s="34"/>
      <c r="C1039" s="34"/>
      <c r="D1039" s="212"/>
      <c r="E1039" s="34"/>
      <c r="F1039" s="213"/>
      <c r="G1039" s="213"/>
      <c r="H1039" s="34"/>
      <c r="I1039" s="214"/>
      <c r="J1039" s="21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</row>
    <row r="1040" ht="15.75" customHeight="1">
      <c r="A1040" s="34"/>
      <c r="B1040" s="34"/>
      <c r="C1040" s="34"/>
      <c r="D1040" s="212"/>
      <c r="E1040" s="34"/>
      <c r="F1040" s="213"/>
      <c r="G1040" s="213"/>
      <c r="H1040" s="34"/>
      <c r="I1040" s="214"/>
      <c r="J1040" s="21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</row>
    <row r="1041" ht="15.75" customHeight="1">
      <c r="A1041" s="34"/>
      <c r="B1041" s="34"/>
      <c r="C1041" s="34"/>
      <c r="D1041" s="212"/>
      <c r="E1041" s="34"/>
      <c r="F1041" s="213"/>
      <c r="G1041" s="213"/>
      <c r="H1041" s="34"/>
      <c r="I1041" s="214"/>
      <c r="J1041" s="21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</row>
    <row r="1042" ht="15.75" customHeight="1">
      <c r="A1042" s="34"/>
      <c r="B1042" s="34"/>
      <c r="C1042" s="34"/>
      <c r="D1042" s="212"/>
      <c r="E1042" s="34"/>
      <c r="F1042" s="213"/>
      <c r="G1042" s="213"/>
      <c r="H1042" s="34"/>
      <c r="I1042" s="214"/>
      <c r="J1042" s="21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</row>
    <row r="1043" ht="15.75" customHeight="1">
      <c r="A1043" s="34"/>
      <c r="B1043" s="34"/>
      <c r="C1043" s="34"/>
      <c r="D1043" s="212"/>
      <c r="E1043" s="34"/>
      <c r="F1043" s="213"/>
      <c r="G1043" s="213"/>
      <c r="H1043" s="34"/>
      <c r="I1043" s="214"/>
      <c r="J1043" s="21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</row>
    <row r="1044" ht="15.75" customHeight="1">
      <c r="A1044" s="34"/>
      <c r="B1044" s="34"/>
      <c r="C1044" s="34"/>
      <c r="D1044" s="212"/>
      <c r="E1044" s="34"/>
      <c r="F1044" s="213"/>
      <c r="G1044" s="213"/>
      <c r="H1044" s="34"/>
      <c r="I1044" s="214"/>
      <c r="J1044" s="21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</row>
    <row r="1045" ht="15.75" customHeight="1">
      <c r="A1045" s="34"/>
      <c r="B1045" s="34"/>
      <c r="C1045" s="34"/>
      <c r="D1045" s="212"/>
      <c r="E1045" s="34"/>
      <c r="F1045" s="213"/>
      <c r="G1045" s="213"/>
      <c r="H1045" s="34"/>
      <c r="I1045" s="214"/>
      <c r="J1045" s="21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</row>
    <row r="1046" ht="15.75" customHeight="1">
      <c r="A1046" s="34"/>
      <c r="B1046" s="34"/>
      <c r="C1046" s="34"/>
      <c r="D1046" s="212"/>
      <c r="E1046" s="34"/>
      <c r="F1046" s="213"/>
      <c r="G1046" s="213"/>
      <c r="H1046" s="34"/>
      <c r="I1046" s="214"/>
      <c r="J1046" s="21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</row>
    <row r="1047" ht="15.75" customHeight="1">
      <c r="A1047" s="34"/>
      <c r="B1047" s="34"/>
      <c r="C1047" s="34"/>
      <c r="D1047" s="212"/>
      <c r="E1047" s="34"/>
      <c r="F1047" s="213"/>
      <c r="G1047" s="213"/>
      <c r="H1047" s="34"/>
      <c r="I1047" s="214"/>
      <c r="J1047" s="21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</row>
    <row r="1048" ht="15.75" customHeight="1">
      <c r="A1048" s="34"/>
      <c r="B1048" s="34"/>
      <c r="C1048" s="34"/>
      <c r="D1048" s="212"/>
      <c r="E1048" s="34"/>
      <c r="F1048" s="213"/>
      <c r="G1048" s="213"/>
      <c r="H1048" s="34"/>
      <c r="I1048" s="214"/>
      <c r="J1048" s="21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</row>
    <row r="1049" ht="15.75" customHeight="1">
      <c r="A1049" s="34"/>
      <c r="B1049" s="34"/>
      <c r="C1049" s="34"/>
      <c r="D1049" s="212"/>
      <c r="E1049" s="34"/>
      <c r="F1049" s="213"/>
      <c r="G1049" s="213"/>
      <c r="H1049" s="34"/>
      <c r="I1049" s="214"/>
      <c r="J1049" s="21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</row>
    <row r="1050" ht="15.75" customHeight="1">
      <c r="A1050" s="34"/>
      <c r="B1050" s="34"/>
      <c r="C1050" s="34"/>
      <c r="D1050" s="212"/>
      <c r="E1050" s="34"/>
      <c r="F1050" s="213"/>
      <c r="G1050" s="213"/>
      <c r="H1050" s="34"/>
      <c r="I1050" s="214"/>
      <c r="J1050" s="21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</row>
    <row r="1051" ht="15.75" customHeight="1">
      <c r="A1051" s="34"/>
      <c r="B1051" s="34"/>
      <c r="C1051" s="34"/>
      <c r="D1051" s="212"/>
      <c r="E1051" s="34"/>
      <c r="F1051" s="213"/>
      <c r="G1051" s="213"/>
      <c r="H1051" s="34"/>
      <c r="I1051" s="214"/>
      <c r="J1051" s="21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</row>
    <row r="1052" ht="15.75" customHeight="1">
      <c r="A1052" s="34"/>
      <c r="B1052" s="34"/>
      <c r="C1052" s="34"/>
      <c r="D1052" s="212"/>
      <c r="E1052" s="34"/>
      <c r="F1052" s="213"/>
      <c r="G1052" s="213"/>
      <c r="H1052" s="34"/>
      <c r="I1052" s="214"/>
      <c r="J1052" s="21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</row>
    <row r="1053" ht="15.75" customHeight="1">
      <c r="A1053" s="34"/>
      <c r="B1053" s="34"/>
      <c r="C1053" s="34"/>
      <c r="D1053" s="212"/>
      <c r="E1053" s="34"/>
      <c r="F1053" s="213"/>
      <c r="G1053" s="213"/>
      <c r="H1053" s="34"/>
      <c r="I1053" s="214"/>
      <c r="J1053" s="21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</row>
    <row r="1054" ht="15.75" customHeight="1">
      <c r="A1054" s="34"/>
      <c r="B1054" s="34"/>
      <c r="C1054" s="34"/>
      <c r="D1054" s="212"/>
      <c r="E1054" s="34"/>
      <c r="F1054" s="213"/>
      <c r="G1054" s="213"/>
      <c r="H1054" s="34"/>
      <c r="I1054" s="214"/>
      <c r="J1054" s="21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</row>
    <row r="1055" ht="15.75" customHeight="1">
      <c r="A1055" s="34"/>
      <c r="B1055" s="34"/>
      <c r="C1055" s="34"/>
      <c r="D1055" s="212"/>
      <c r="E1055" s="34"/>
      <c r="F1055" s="213"/>
      <c r="G1055" s="213"/>
      <c r="H1055" s="34"/>
      <c r="I1055" s="214"/>
      <c r="J1055" s="21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</row>
    <row r="1056" ht="15.75" customHeight="1">
      <c r="A1056" s="34"/>
      <c r="B1056" s="34"/>
      <c r="C1056" s="34"/>
      <c r="D1056" s="212"/>
      <c r="E1056" s="34"/>
      <c r="F1056" s="213"/>
      <c r="G1056" s="213"/>
      <c r="H1056" s="34"/>
      <c r="I1056" s="214"/>
      <c r="J1056" s="21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</row>
    <row r="1057" ht="15.75" customHeight="1">
      <c r="A1057" s="34"/>
      <c r="B1057" s="34"/>
      <c r="C1057" s="34"/>
      <c r="D1057" s="212"/>
      <c r="E1057" s="34"/>
      <c r="F1057" s="213"/>
      <c r="G1057" s="213"/>
      <c r="H1057" s="34"/>
      <c r="I1057" s="214"/>
      <c r="J1057" s="21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</row>
    <row r="1058" ht="15.75" customHeight="1">
      <c r="A1058" s="34"/>
      <c r="B1058" s="34"/>
      <c r="C1058" s="34"/>
      <c r="D1058" s="212"/>
      <c r="E1058" s="34"/>
      <c r="F1058" s="213"/>
      <c r="G1058" s="213"/>
      <c r="H1058" s="34"/>
      <c r="I1058" s="214"/>
      <c r="J1058" s="21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</row>
    <row r="1059" ht="15.75" customHeight="1">
      <c r="A1059" s="34"/>
      <c r="B1059" s="34"/>
      <c r="C1059" s="34"/>
      <c r="D1059" s="212"/>
      <c r="E1059" s="34"/>
      <c r="F1059" s="213"/>
      <c r="G1059" s="213"/>
      <c r="H1059" s="34"/>
      <c r="I1059" s="214"/>
      <c r="J1059" s="21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</row>
    <row r="1060" ht="15.75" customHeight="1">
      <c r="A1060" s="34"/>
      <c r="B1060" s="34"/>
      <c r="C1060" s="34"/>
      <c r="D1060" s="212"/>
      <c r="E1060" s="34"/>
      <c r="F1060" s="213"/>
      <c r="G1060" s="213"/>
      <c r="H1060" s="34"/>
      <c r="I1060" s="214"/>
      <c r="J1060" s="21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</row>
    <row r="1061" ht="15.75" customHeight="1">
      <c r="A1061" s="34"/>
      <c r="B1061" s="34"/>
      <c r="C1061" s="34"/>
      <c r="D1061" s="212"/>
      <c r="E1061" s="34"/>
      <c r="F1061" s="213"/>
      <c r="G1061" s="213"/>
      <c r="H1061" s="34"/>
      <c r="I1061" s="214"/>
      <c r="J1061" s="21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</row>
    <row r="1062" ht="15.75" customHeight="1">
      <c r="A1062" s="34"/>
      <c r="B1062" s="34"/>
      <c r="C1062" s="34"/>
      <c r="D1062" s="212"/>
      <c r="E1062" s="34"/>
      <c r="F1062" s="213"/>
      <c r="G1062" s="213"/>
      <c r="H1062" s="34"/>
      <c r="I1062" s="214"/>
      <c r="J1062" s="21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</row>
    <row r="1063" ht="15.75" customHeight="1">
      <c r="A1063" s="34"/>
      <c r="B1063" s="34"/>
      <c r="C1063" s="34"/>
      <c r="D1063" s="212"/>
      <c r="E1063" s="34"/>
      <c r="F1063" s="213"/>
      <c r="G1063" s="213"/>
      <c r="H1063" s="34"/>
      <c r="I1063" s="214"/>
      <c r="J1063" s="21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</row>
    <row r="1064" ht="15.75" customHeight="1">
      <c r="A1064" s="34"/>
      <c r="B1064" s="34"/>
      <c r="C1064" s="34"/>
      <c r="D1064" s="212"/>
      <c r="E1064" s="34"/>
      <c r="F1064" s="213"/>
      <c r="G1064" s="213"/>
      <c r="H1064" s="34"/>
      <c r="I1064" s="214"/>
      <c r="J1064" s="21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</row>
    <row r="1065" ht="15.75" customHeight="1">
      <c r="A1065" s="34"/>
      <c r="B1065" s="34"/>
      <c r="C1065" s="34"/>
      <c r="D1065" s="212"/>
      <c r="E1065" s="34"/>
      <c r="F1065" s="213"/>
      <c r="G1065" s="213"/>
      <c r="H1065" s="34"/>
      <c r="I1065" s="214"/>
      <c r="J1065" s="21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</row>
    <row r="1066" ht="15.75" customHeight="1">
      <c r="A1066" s="34"/>
      <c r="B1066" s="34"/>
      <c r="C1066" s="34"/>
      <c r="D1066" s="212"/>
      <c r="E1066" s="34"/>
      <c r="F1066" s="213"/>
      <c r="G1066" s="213"/>
      <c r="H1066" s="34"/>
      <c r="I1066" s="214"/>
      <c r="J1066" s="21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</row>
    <row r="1067" ht="15.75" customHeight="1">
      <c r="A1067" s="34"/>
      <c r="B1067" s="34"/>
      <c r="C1067" s="34"/>
      <c r="D1067" s="212"/>
      <c r="E1067" s="34"/>
      <c r="F1067" s="213"/>
      <c r="G1067" s="213"/>
      <c r="H1067" s="34"/>
      <c r="I1067" s="214"/>
      <c r="J1067" s="21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</row>
    <row r="1068" ht="15.75" customHeight="1">
      <c r="A1068" s="34"/>
      <c r="B1068" s="34"/>
      <c r="C1068" s="34"/>
      <c r="D1068" s="212"/>
      <c r="E1068" s="34"/>
      <c r="F1068" s="213"/>
      <c r="G1068" s="213"/>
      <c r="H1068" s="34"/>
      <c r="I1068" s="214"/>
      <c r="J1068" s="21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</row>
    <row r="1069" ht="15.75" customHeight="1">
      <c r="A1069" s="34"/>
      <c r="B1069" s="34"/>
      <c r="C1069" s="34"/>
      <c r="D1069" s="212"/>
      <c r="E1069" s="34"/>
      <c r="F1069" s="213"/>
      <c r="G1069" s="213"/>
      <c r="H1069" s="34"/>
      <c r="I1069" s="214"/>
      <c r="J1069" s="21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</row>
    <row r="1070" ht="15.75" customHeight="1">
      <c r="A1070" s="34"/>
      <c r="B1070" s="34"/>
      <c r="C1070" s="34"/>
      <c r="D1070" s="212"/>
      <c r="E1070" s="34"/>
      <c r="F1070" s="213"/>
      <c r="G1070" s="213"/>
      <c r="H1070" s="34"/>
      <c r="I1070" s="214"/>
      <c r="J1070" s="21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</row>
    <row r="1071" ht="15.75" customHeight="1">
      <c r="A1071" s="34"/>
      <c r="B1071" s="34"/>
      <c r="C1071" s="34"/>
      <c r="D1071" s="212"/>
      <c r="E1071" s="34"/>
      <c r="F1071" s="213"/>
      <c r="G1071" s="213"/>
      <c r="H1071" s="34"/>
      <c r="I1071" s="214"/>
      <c r="J1071" s="21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</row>
    <row r="1072" ht="15.75" customHeight="1">
      <c r="A1072" s="34"/>
      <c r="B1072" s="34"/>
      <c r="C1072" s="34"/>
      <c r="D1072" s="212"/>
      <c r="E1072" s="34"/>
      <c r="F1072" s="213"/>
      <c r="G1072" s="213"/>
      <c r="H1072" s="34"/>
      <c r="I1072" s="214"/>
      <c r="J1072" s="21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</row>
    <row r="1073" ht="15.75" customHeight="1">
      <c r="A1073" s="34"/>
      <c r="B1073" s="34"/>
      <c r="C1073" s="34"/>
      <c r="D1073" s="212"/>
      <c r="E1073" s="34"/>
      <c r="F1073" s="213"/>
      <c r="G1073" s="213"/>
      <c r="H1073" s="34"/>
      <c r="I1073" s="214"/>
      <c r="J1073" s="21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</row>
    <row r="1074" ht="15.75" customHeight="1">
      <c r="A1074" s="34"/>
      <c r="B1074" s="34"/>
      <c r="C1074" s="34"/>
      <c r="D1074" s="212"/>
      <c r="E1074" s="34"/>
      <c r="F1074" s="213"/>
      <c r="G1074" s="213"/>
      <c r="H1074" s="34"/>
      <c r="I1074" s="214"/>
      <c r="J1074" s="21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</row>
    <row r="1075" ht="15.75" customHeight="1">
      <c r="A1075" s="34"/>
      <c r="B1075" s="34"/>
      <c r="C1075" s="34"/>
      <c r="D1075" s="212"/>
      <c r="E1075" s="34"/>
      <c r="F1075" s="213"/>
      <c r="G1075" s="213"/>
      <c r="H1075" s="34"/>
      <c r="I1075" s="214"/>
      <c r="J1075" s="21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</row>
    <row r="1076" ht="15.75" customHeight="1">
      <c r="A1076" s="34"/>
      <c r="B1076" s="34"/>
      <c r="C1076" s="34"/>
      <c r="D1076" s="212"/>
      <c r="E1076" s="34"/>
      <c r="F1076" s="213"/>
      <c r="G1076" s="213"/>
      <c r="H1076" s="34"/>
      <c r="I1076" s="214"/>
      <c r="J1076" s="21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</row>
    <row r="1077" ht="15.75" customHeight="1">
      <c r="A1077" s="34"/>
      <c r="B1077" s="34"/>
      <c r="C1077" s="34"/>
      <c r="D1077" s="212"/>
      <c r="E1077" s="34"/>
      <c r="F1077" s="213"/>
      <c r="G1077" s="213"/>
      <c r="H1077" s="34"/>
      <c r="I1077" s="214"/>
      <c r="J1077" s="21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</row>
    <row r="1078" ht="15.75" customHeight="1">
      <c r="A1078" s="34"/>
      <c r="B1078" s="34"/>
      <c r="C1078" s="34"/>
      <c r="D1078" s="212"/>
      <c r="E1078" s="34"/>
      <c r="F1078" s="213"/>
      <c r="G1078" s="213"/>
      <c r="H1078" s="34"/>
      <c r="I1078" s="214"/>
      <c r="J1078" s="21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</row>
    <row r="1079" ht="15.75" customHeight="1">
      <c r="A1079" s="34"/>
      <c r="B1079" s="34"/>
      <c r="C1079" s="34"/>
      <c r="D1079" s="212"/>
      <c r="E1079" s="34"/>
      <c r="F1079" s="213"/>
      <c r="G1079" s="213"/>
      <c r="H1079" s="34"/>
      <c r="I1079" s="214"/>
      <c r="J1079" s="21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</row>
    <row r="1080" ht="15.75" customHeight="1">
      <c r="A1080" s="34"/>
      <c r="B1080" s="34"/>
      <c r="C1080" s="34"/>
      <c r="D1080" s="212"/>
      <c r="E1080" s="34"/>
      <c r="F1080" s="213"/>
      <c r="G1080" s="213"/>
      <c r="H1080" s="34"/>
      <c r="I1080" s="214"/>
      <c r="J1080" s="21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</row>
    <row r="1081" ht="15.75" customHeight="1">
      <c r="A1081" s="34"/>
      <c r="B1081" s="34"/>
      <c r="C1081" s="34"/>
      <c r="D1081" s="212"/>
      <c r="E1081" s="34"/>
      <c r="F1081" s="213"/>
      <c r="G1081" s="213"/>
      <c r="H1081" s="34"/>
      <c r="I1081" s="214"/>
      <c r="J1081" s="21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</row>
    <row r="1082" ht="15.75" customHeight="1">
      <c r="A1082" s="34"/>
      <c r="B1082" s="34"/>
      <c r="C1082" s="34"/>
      <c r="D1082" s="212"/>
      <c r="E1082" s="34"/>
      <c r="F1082" s="213"/>
      <c r="G1082" s="213"/>
      <c r="H1082" s="34"/>
      <c r="I1082" s="214"/>
      <c r="J1082" s="21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</row>
    <row r="1083" ht="15.75" customHeight="1">
      <c r="A1083" s="34"/>
      <c r="B1083" s="34"/>
      <c r="C1083" s="34"/>
      <c r="D1083" s="212"/>
      <c r="E1083" s="34"/>
      <c r="F1083" s="213"/>
      <c r="G1083" s="213"/>
      <c r="H1083" s="34"/>
      <c r="I1083" s="214"/>
      <c r="J1083" s="21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</row>
    <row r="1084" ht="15.75" customHeight="1">
      <c r="A1084" s="34"/>
      <c r="B1084" s="34"/>
      <c r="C1084" s="34"/>
      <c r="D1084" s="212"/>
      <c r="E1084" s="34"/>
      <c r="F1084" s="213"/>
      <c r="G1084" s="213"/>
      <c r="H1084" s="34"/>
      <c r="I1084" s="214"/>
      <c r="J1084" s="21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</row>
    <row r="1085" ht="15.75" customHeight="1">
      <c r="A1085" s="34"/>
      <c r="B1085" s="34"/>
      <c r="C1085" s="34"/>
      <c r="D1085" s="212"/>
      <c r="E1085" s="34"/>
      <c r="F1085" s="213"/>
      <c r="G1085" s="213"/>
      <c r="H1085" s="34"/>
      <c r="I1085" s="214"/>
      <c r="J1085" s="21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</row>
    <row r="1086" ht="15.75" customHeight="1">
      <c r="A1086" s="34"/>
      <c r="B1086" s="34"/>
      <c r="C1086" s="34"/>
      <c r="D1086" s="212"/>
      <c r="E1086" s="34"/>
      <c r="F1086" s="213"/>
      <c r="G1086" s="213"/>
      <c r="H1086" s="34"/>
      <c r="I1086" s="214"/>
      <c r="J1086" s="21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</row>
    <row r="1087" ht="15.75" customHeight="1">
      <c r="A1087" s="34"/>
      <c r="B1087" s="34"/>
      <c r="C1087" s="34"/>
      <c r="D1087" s="212"/>
      <c r="E1087" s="34"/>
      <c r="F1087" s="213"/>
      <c r="G1087" s="213"/>
      <c r="H1087" s="34"/>
      <c r="I1087" s="214"/>
      <c r="J1087" s="21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</row>
    <row r="1088" ht="15.75" customHeight="1">
      <c r="A1088" s="34"/>
      <c r="B1088" s="34"/>
      <c r="C1088" s="34"/>
      <c r="D1088" s="212"/>
      <c r="E1088" s="34"/>
      <c r="F1088" s="213"/>
      <c r="G1088" s="213"/>
      <c r="H1088" s="34"/>
      <c r="I1088" s="214"/>
      <c r="J1088" s="21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</row>
    <row r="1089" ht="15.75" customHeight="1">
      <c r="A1089" s="34"/>
      <c r="B1089" s="34"/>
      <c r="C1089" s="34"/>
      <c r="D1089" s="212"/>
      <c r="E1089" s="34"/>
      <c r="F1089" s="213"/>
      <c r="G1089" s="213"/>
      <c r="H1089" s="34"/>
      <c r="I1089" s="214"/>
      <c r="J1089" s="21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</row>
    <row r="1090" ht="15.75" customHeight="1">
      <c r="A1090" s="34"/>
      <c r="B1090" s="34"/>
      <c r="C1090" s="34"/>
      <c r="D1090" s="212"/>
      <c r="E1090" s="34"/>
      <c r="F1090" s="213"/>
      <c r="G1090" s="213"/>
      <c r="H1090" s="34"/>
      <c r="I1090" s="214"/>
      <c r="J1090" s="21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</row>
    <row r="1091" ht="15.75" customHeight="1">
      <c r="A1091" s="34"/>
      <c r="B1091" s="34"/>
      <c r="C1091" s="34"/>
      <c r="D1091" s="212"/>
      <c r="E1091" s="34"/>
      <c r="F1091" s="213"/>
      <c r="G1091" s="213"/>
      <c r="H1091" s="34"/>
      <c r="I1091" s="214"/>
      <c r="J1091" s="21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</row>
    <row r="1092" ht="15.75" customHeight="1">
      <c r="A1092" s="34"/>
      <c r="B1092" s="34"/>
      <c r="C1092" s="34"/>
      <c r="D1092" s="212"/>
      <c r="E1092" s="34"/>
      <c r="F1092" s="213"/>
      <c r="G1092" s="213"/>
      <c r="H1092" s="34"/>
      <c r="I1092" s="214"/>
      <c r="J1092" s="21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</row>
    <row r="1093" ht="15.75" customHeight="1">
      <c r="A1093" s="34"/>
      <c r="B1093" s="34"/>
      <c r="C1093" s="34"/>
      <c r="D1093" s="212"/>
      <c r="E1093" s="34"/>
      <c r="F1093" s="213"/>
      <c r="G1093" s="213"/>
      <c r="H1093" s="34"/>
      <c r="I1093" s="214"/>
      <c r="J1093" s="21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</row>
    <row r="1094" ht="15.75" customHeight="1">
      <c r="A1094" s="34"/>
      <c r="B1094" s="34"/>
      <c r="C1094" s="34"/>
      <c r="D1094" s="212"/>
      <c r="E1094" s="34"/>
      <c r="F1094" s="213"/>
      <c r="G1094" s="213"/>
      <c r="H1094" s="34"/>
      <c r="I1094" s="214"/>
      <c r="J1094" s="21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</row>
    <row r="1095" ht="15.75" customHeight="1">
      <c r="A1095" s="34"/>
      <c r="B1095" s="34"/>
      <c r="C1095" s="34"/>
      <c r="D1095" s="212"/>
      <c r="E1095" s="34"/>
      <c r="F1095" s="213"/>
      <c r="G1095" s="213"/>
      <c r="H1095" s="34"/>
      <c r="I1095" s="214"/>
      <c r="J1095" s="21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</row>
    <row r="1096" ht="15.75" customHeight="1">
      <c r="A1096" s="34"/>
      <c r="B1096" s="34"/>
      <c r="C1096" s="34"/>
      <c r="D1096" s="212"/>
      <c r="E1096" s="34"/>
      <c r="F1096" s="213"/>
      <c r="G1096" s="213"/>
      <c r="H1096" s="34"/>
      <c r="I1096" s="214"/>
      <c r="J1096" s="21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</row>
    <row r="1097" ht="15.75" customHeight="1">
      <c r="A1097" s="34"/>
      <c r="B1097" s="34"/>
      <c r="C1097" s="34"/>
      <c r="D1097" s="212"/>
      <c r="E1097" s="34"/>
      <c r="F1097" s="213"/>
      <c r="G1097" s="213"/>
      <c r="H1097" s="34"/>
      <c r="I1097" s="214"/>
      <c r="J1097" s="21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</row>
    <row r="1098" ht="15.75" customHeight="1">
      <c r="A1098" s="34"/>
      <c r="B1098" s="34"/>
      <c r="C1098" s="34"/>
      <c r="D1098" s="212"/>
      <c r="E1098" s="34"/>
      <c r="F1098" s="213"/>
      <c r="G1098" s="213"/>
      <c r="H1098" s="34"/>
      <c r="I1098" s="214"/>
      <c r="J1098" s="21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</row>
    <row r="1099" ht="15.75" customHeight="1">
      <c r="A1099" s="34"/>
      <c r="B1099" s="34"/>
      <c r="C1099" s="34"/>
      <c r="D1099" s="212"/>
      <c r="E1099" s="34"/>
      <c r="F1099" s="213"/>
      <c r="G1099" s="213"/>
      <c r="H1099" s="34"/>
      <c r="I1099" s="214"/>
      <c r="J1099" s="21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</row>
    <row r="1100" ht="15.75" customHeight="1">
      <c r="A1100" s="34"/>
      <c r="B1100" s="34"/>
      <c r="C1100" s="34"/>
      <c r="D1100" s="212"/>
      <c r="E1100" s="34"/>
      <c r="F1100" s="213"/>
      <c r="G1100" s="213"/>
      <c r="H1100" s="34"/>
      <c r="I1100" s="214"/>
      <c r="J1100" s="21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</row>
    <row r="1101" ht="15.75" customHeight="1">
      <c r="A1101" s="34"/>
      <c r="B1101" s="34"/>
      <c r="C1101" s="34"/>
      <c r="D1101" s="212"/>
      <c r="E1101" s="34"/>
      <c r="F1101" s="213"/>
      <c r="G1101" s="213"/>
      <c r="H1101" s="34"/>
      <c r="I1101" s="214"/>
      <c r="J1101" s="21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</row>
    <row r="1102" ht="15.75" customHeight="1">
      <c r="A1102" s="34"/>
      <c r="B1102" s="34"/>
      <c r="C1102" s="34"/>
      <c r="D1102" s="212"/>
      <c r="E1102" s="34"/>
      <c r="F1102" s="213"/>
      <c r="G1102" s="213"/>
      <c r="H1102" s="34"/>
      <c r="I1102" s="214"/>
      <c r="J1102" s="21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</row>
    <row r="1103" ht="15.75" customHeight="1">
      <c r="A1103" s="34"/>
      <c r="B1103" s="34"/>
      <c r="C1103" s="34"/>
      <c r="D1103" s="212"/>
      <c r="E1103" s="34"/>
      <c r="F1103" s="213"/>
      <c r="G1103" s="213"/>
      <c r="H1103" s="34"/>
      <c r="I1103" s="214"/>
      <c r="J1103" s="21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</row>
    <row r="1104" ht="15.75" customHeight="1">
      <c r="A1104" s="34"/>
      <c r="B1104" s="34"/>
      <c r="C1104" s="34"/>
      <c r="D1104" s="212"/>
      <c r="E1104" s="34"/>
      <c r="F1104" s="213"/>
      <c r="G1104" s="213"/>
      <c r="H1104" s="34"/>
      <c r="I1104" s="214"/>
      <c r="J1104" s="21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</row>
    <row r="1105" ht="15.75" customHeight="1">
      <c r="A1105" s="34"/>
      <c r="B1105" s="34"/>
      <c r="C1105" s="34"/>
      <c r="D1105" s="212"/>
      <c r="E1105" s="34"/>
      <c r="F1105" s="213"/>
      <c r="G1105" s="213"/>
      <c r="H1105" s="34"/>
      <c r="I1105" s="214"/>
      <c r="J1105" s="21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</row>
    <row r="1106" ht="15.75" customHeight="1">
      <c r="A1106" s="34"/>
      <c r="B1106" s="34"/>
      <c r="C1106" s="34"/>
      <c r="D1106" s="212"/>
      <c r="E1106" s="34"/>
      <c r="F1106" s="213"/>
      <c r="G1106" s="213"/>
      <c r="H1106" s="34"/>
      <c r="I1106" s="214"/>
      <c r="J1106" s="21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</row>
    <row r="1107" ht="15.75" customHeight="1">
      <c r="A1107" s="34"/>
      <c r="B1107" s="34"/>
      <c r="C1107" s="34"/>
      <c r="D1107" s="212"/>
      <c r="E1107" s="34"/>
      <c r="F1107" s="213"/>
      <c r="G1107" s="213"/>
      <c r="H1107" s="34"/>
      <c r="I1107" s="214"/>
      <c r="J1107" s="21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</row>
    <row r="1108" ht="15.75" customHeight="1">
      <c r="A1108" s="34"/>
      <c r="B1108" s="34"/>
      <c r="C1108" s="34"/>
      <c r="D1108" s="212"/>
      <c r="E1108" s="34"/>
      <c r="F1108" s="213"/>
      <c r="G1108" s="213"/>
      <c r="H1108" s="34"/>
      <c r="I1108" s="214"/>
      <c r="J1108" s="21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</row>
    <row r="1109" ht="15.75" customHeight="1">
      <c r="A1109" s="34"/>
      <c r="B1109" s="34"/>
      <c r="C1109" s="34"/>
      <c r="D1109" s="212"/>
      <c r="E1109" s="34"/>
      <c r="F1109" s="213"/>
      <c r="G1109" s="213"/>
      <c r="H1109" s="34"/>
      <c r="I1109" s="214"/>
      <c r="J1109" s="21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</row>
    <row r="1110" ht="15.75" customHeight="1">
      <c r="A1110" s="34"/>
      <c r="B1110" s="34"/>
      <c r="C1110" s="34"/>
      <c r="D1110" s="212"/>
      <c r="E1110" s="34"/>
      <c r="F1110" s="213"/>
      <c r="G1110" s="213"/>
      <c r="H1110" s="34"/>
      <c r="I1110" s="214"/>
      <c r="J1110" s="21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</row>
    <row r="1111" ht="15.75" customHeight="1">
      <c r="A1111" s="34"/>
      <c r="B1111" s="34"/>
      <c r="C1111" s="34"/>
      <c r="D1111" s="212"/>
      <c r="E1111" s="34"/>
      <c r="F1111" s="213"/>
      <c r="G1111" s="213"/>
      <c r="H1111" s="34"/>
      <c r="I1111" s="214"/>
      <c r="J1111" s="21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</row>
    <row r="1112" ht="15.75" customHeight="1">
      <c r="A1112" s="34"/>
      <c r="B1112" s="34"/>
      <c r="C1112" s="34"/>
      <c r="D1112" s="212"/>
      <c r="E1112" s="34"/>
      <c r="F1112" s="213"/>
      <c r="G1112" s="213"/>
      <c r="H1112" s="34"/>
      <c r="I1112" s="214"/>
      <c r="J1112" s="21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</row>
    <row r="1113" ht="15.75" customHeight="1">
      <c r="A1113" s="34"/>
      <c r="B1113" s="34"/>
      <c r="C1113" s="34"/>
      <c r="D1113" s="212"/>
      <c r="E1113" s="34"/>
      <c r="F1113" s="213"/>
      <c r="G1113" s="213"/>
      <c r="H1113" s="34"/>
      <c r="I1113" s="214"/>
      <c r="J1113" s="21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</row>
    <row r="1114" ht="15.75" customHeight="1">
      <c r="A1114" s="34"/>
      <c r="B1114" s="34"/>
      <c r="C1114" s="34"/>
      <c r="D1114" s="212"/>
      <c r="E1114" s="34"/>
      <c r="F1114" s="213"/>
      <c r="G1114" s="213"/>
      <c r="H1114" s="34"/>
      <c r="I1114" s="214"/>
      <c r="J1114" s="21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</row>
    <row r="1115" ht="15.75" customHeight="1">
      <c r="A1115" s="34"/>
      <c r="B1115" s="34"/>
      <c r="C1115" s="34"/>
      <c r="D1115" s="212"/>
      <c r="E1115" s="34"/>
      <c r="F1115" s="213"/>
      <c r="G1115" s="213"/>
      <c r="H1115" s="34"/>
      <c r="I1115" s="214"/>
      <c r="J1115" s="21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</row>
    <row r="1116" ht="15.75" customHeight="1">
      <c r="A1116" s="34"/>
      <c r="B1116" s="34"/>
      <c r="C1116" s="34"/>
      <c r="D1116" s="212"/>
      <c r="E1116" s="34"/>
      <c r="F1116" s="213"/>
      <c r="G1116" s="213"/>
      <c r="H1116" s="34"/>
      <c r="I1116" s="214"/>
      <c r="J1116" s="21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</row>
    <row r="1117" ht="15.75" customHeight="1">
      <c r="A1117" s="34"/>
      <c r="B1117" s="34"/>
      <c r="C1117" s="34"/>
      <c r="D1117" s="212"/>
      <c r="E1117" s="34"/>
      <c r="F1117" s="213"/>
      <c r="G1117" s="213"/>
      <c r="H1117" s="34"/>
      <c r="I1117" s="214"/>
      <c r="J1117" s="21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</row>
    <row r="1118" ht="15.75" customHeight="1">
      <c r="A1118" s="34"/>
      <c r="B1118" s="34"/>
      <c r="C1118" s="34"/>
      <c r="D1118" s="212"/>
      <c r="E1118" s="34"/>
      <c r="F1118" s="213"/>
      <c r="G1118" s="213"/>
      <c r="H1118" s="34"/>
      <c r="I1118" s="214"/>
      <c r="J1118" s="21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</row>
    <row r="1119" ht="15.75" customHeight="1">
      <c r="A1119" s="34"/>
      <c r="B1119" s="34"/>
      <c r="C1119" s="34"/>
      <c r="D1119" s="212"/>
      <c r="E1119" s="34"/>
      <c r="F1119" s="213"/>
      <c r="G1119" s="213"/>
      <c r="H1119" s="34"/>
      <c r="I1119" s="214"/>
      <c r="J1119" s="21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</row>
    <row r="1120" ht="15.75" customHeight="1">
      <c r="A1120" s="34"/>
      <c r="B1120" s="34"/>
      <c r="C1120" s="34"/>
      <c r="D1120" s="212"/>
      <c r="E1120" s="34"/>
      <c r="F1120" s="213"/>
      <c r="G1120" s="213"/>
      <c r="H1120" s="34"/>
      <c r="I1120" s="214"/>
      <c r="J1120" s="21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</row>
    <row r="1121" ht="15.75" customHeight="1">
      <c r="A1121" s="34"/>
      <c r="B1121" s="34"/>
      <c r="C1121" s="34"/>
      <c r="D1121" s="212"/>
      <c r="E1121" s="34"/>
      <c r="F1121" s="213"/>
      <c r="G1121" s="213"/>
      <c r="H1121" s="34"/>
      <c r="I1121" s="214"/>
      <c r="J1121" s="21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</row>
    <row r="1122" ht="15.75" customHeight="1">
      <c r="A1122" s="34"/>
      <c r="B1122" s="34"/>
      <c r="C1122" s="34"/>
      <c r="D1122" s="212"/>
      <c r="E1122" s="34"/>
      <c r="F1122" s="213"/>
      <c r="G1122" s="213"/>
      <c r="H1122" s="34"/>
      <c r="I1122" s="214"/>
      <c r="J1122" s="21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</row>
    <row r="1123" ht="15.75" customHeight="1">
      <c r="A1123" s="34"/>
      <c r="B1123" s="34"/>
      <c r="C1123" s="34"/>
      <c r="D1123" s="212"/>
      <c r="E1123" s="34"/>
      <c r="F1123" s="213"/>
      <c r="G1123" s="213"/>
      <c r="H1123" s="34"/>
      <c r="I1123" s="214"/>
      <c r="J1123" s="21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</row>
    <row r="1124" ht="15.75" customHeight="1">
      <c r="A1124" s="34"/>
      <c r="B1124" s="34"/>
      <c r="C1124" s="34"/>
      <c r="D1124" s="212"/>
      <c r="E1124" s="34"/>
      <c r="F1124" s="213"/>
      <c r="G1124" s="213"/>
      <c r="H1124" s="34"/>
      <c r="I1124" s="214"/>
      <c r="J1124" s="21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</row>
    <row r="1125" ht="15.75" customHeight="1">
      <c r="A1125" s="34"/>
      <c r="B1125" s="34"/>
      <c r="C1125" s="34"/>
      <c r="D1125" s="212"/>
      <c r="E1125" s="34"/>
      <c r="F1125" s="213"/>
      <c r="G1125" s="213"/>
      <c r="H1125" s="34"/>
      <c r="I1125" s="214"/>
      <c r="J1125" s="21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</row>
    <row r="1126" ht="15.75" customHeight="1">
      <c r="A1126" s="34"/>
      <c r="B1126" s="34"/>
      <c r="C1126" s="34"/>
      <c r="D1126" s="212"/>
      <c r="E1126" s="34"/>
      <c r="F1126" s="213"/>
      <c r="G1126" s="213"/>
      <c r="H1126" s="34"/>
      <c r="I1126" s="214"/>
      <c r="J1126" s="21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</row>
    <row r="1127" ht="15.75" customHeight="1">
      <c r="A1127" s="34"/>
      <c r="B1127" s="34"/>
      <c r="C1127" s="34"/>
      <c r="D1127" s="212"/>
      <c r="E1127" s="34"/>
      <c r="F1127" s="213"/>
      <c r="G1127" s="213"/>
      <c r="H1127" s="34"/>
      <c r="I1127" s="214"/>
      <c r="J1127" s="21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</row>
    <row r="1128" ht="15.75" customHeight="1">
      <c r="A1128" s="34"/>
      <c r="B1128" s="34"/>
      <c r="C1128" s="34"/>
      <c r="D1128" s="212"/>
      <c r="E1128" s="34"/>
      <c r="F1128" s="213"/>
      <c r="G1128" s="213"/>
      <c r="H1128" s="34"/>
      <c r="I1128" s="214"/>
      <c r="J1128" s="21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</row>
    <row r="1129" ht="15.75" customHeight="1">
      <c r="A1129" s="34"/>
      <c r="B1129" s="34"/>
      <c r="C1129" s="34"/>
      <c r="D1129" s="212"/>
      <c r="E1129" s="34"/>
      <c r="F1129" s="213"/>
      <c r="G1129" s="213"/>
      <c r="H1129" s="34"/>
      <c r="I1129" s="214"/>
      <c r="J1129" s="21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</row>
    <row r="1130" ht="15.75" customHeight="1">
      <c r="A1130" s="34"/>
      <c r="B1130" s="34"/>
      <c r="C1130" s="34"/>
      <c r="D1130" s="212"/>
      <c r="E1130" s="34"/>
      <c r="F1130" s="213"/>
      <c r="G1130" s="213"/>
      <c r="H1130" s="34"/>
      <c r="I1130" s="214"/>
      <c r="J1130" s="21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</row>
    <row r="1131" ht="15.75" customHeight="1">
      <c r="A1131" s="34"/>
      <c r="B1131" s="34"/>
      <c r="C1131" s="34"/>
      <c r="D1131" s="212"/>
      <c r="E1131" s="34"/>
      <c r="F1131" s="213"/>
      <c r="G1131" s="213"/>
      <c r="H1131" s="34"/>
      <c r="I1131" s="214"/>
      <c r="J1131" s="214"/>
      <c r="K1131" s="34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</row>
    <row r="1132" ht="15.75" customHeight="1">
      <c r="A1132" s="34"/>
      <c r="B1132" s="34"/>
      <c r="C1132" s="34"/>
      <c r="D1132" s="212"/>
      <c r="E1132" s="34"/>
      <c r="F1132" s="213"/>
      <c r="G1132" s="213"/>
      <c r="H1132" s="34"/>
      <c r="I1132" s="214"/>
      <c r="J1132" s="214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</row>
    <row r="1133" ht="15.75" customHeight="1">
      <c r="A1133" s="34"/>
      <c r="B1133" s="34"/>
      <c r="C1133" s="34"/>
      <c r="D1133" s="212"/>
      <c r="E1133" s="34"/>
      <c r="F1133" s="213"/>
      <c r="G1133" s="213"/>
      <c r="H1133" s="34"/>
      <c r="I1133" s="214"/>
      <c r="J1133" s="214"/>
      <c r="K1133" s="34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  <c r="X1133" s="34"/>
      <c r="Y1133" s="34"/>
      <c r="Z1133" s="34"/>
    </row>
    <row r="1134" ht="15.75" customHeight="1">
      <c r="A1134" s="34"/>
      <c r="B1134" s="34"/>
      <c r="C1134" s="34"/>
      <c r="D1134" s="212"/>
      <c r="E1134" s="34"/>
      <c r="F1134" s="213"/>
      <c r="G1134" s="213"/>
      <c r="H1134" s="34"/>
      <c r="I1134" s="214"/>
      <c r="J1134" s="214"/>
      <c r="K1134" s="34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</row>
    <row r="1135" ht="15.75" customHeight="1">
      <c r="A1135" s="34"/>
      <c r="B1135" s="34"/>
      <c r="C1135" s="34"/>
      <c r="D1135" s="212"/>
      <c r="E1135" s="34"/>
      <c r="F1135" s="213"/>
      <c r="G1135" s="213"/>
      <c r="H1135" s="34"/>
      <c r="I1135" s="214"/>
      <c r="J1135" s="214"/>
      <c r="K1135" s="34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</row>
    <row r="1136" ht="15.75" customHeight="1">
      <c r="A1136" s="34"/>
      <c r="B1136" s="34"/>
      <c r="C1136" s="34"/>
      <c r="D1136" s="212"/>
      <c r="E1136" s="34"/>
      <c r="F1136" s="213"/>
      <c r="G1136" s="213"/>
      <c r="H1136" s="34"/>
      <c r="I1136" s="214"/>
      <c r="J1136" s="214"/>
      <c r="K1136" s="34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</row>
    <row r="1137" ht="15.75" customHeight="1">
      <c r="A1137" s="34"/>
      <c r="B1137" s="34"/>
      <c r="C1137" s="34"/>
      <c r="D1137" s="212"/>
      <c r="E1137" s="34"/>
      <c r="F1137" s="213"/>
      <c r="G1137" s="213"/>
      <c r="H1137" s="34"/>
      <c r="I1137" s="214"/>
      <c r="J1137" s="214"/>
      <c r="K1137" s="34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</row>
    <row r="1138" ht="15.75" customHeight="1">
      <c r="A1138" s="34"/>
      <c r="B1138" s="34"/>
      <c r="C1138" s="34"/>
      <c r="D1138" s="212"/>
      <c r="E1138" s="34"/>
      <c r="F1138" s="213"/>
      <c r="G1138" s="213"/>
      <c r="H1138" s="34"/>
      <c r="I1138" s="214"/>
      <c r="J1138" s="214"/>
      <c r="K1138" s="34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</row>
    <row r="1139" ht="15.75" customHeight="1">
      <c r="A1139" s="34"/>
      <c r="B1139" s="34"/>
      <c r="C1139" s="34"/>
      <c r="D1139" s="212"/>
      <c r="E1139" s="34"/>
      <c r="F1139" s="213"/>
      <c r="G1139" s="213"/>
      <c r="H1139" s="34"/>
      <c r="I1139" s="214"/>
      <c r="J1139" s="21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</row>
    <row r="1140" ht="15.75" customHeight="1">
      <c r="A1140" s="34"/>
      <c r="B1140" s="34"/>
      <c r="C1140" s="34"/>
      <c r="D1140" s="212"/>
      <c r="E1140" s="34"/>
      <c r="F1140" s="213"/>
      <c r="G1140" s="213"/>
      <c r="H1140" s="34"/>
      <c r="I1140" s="214"/>
      <c r="J1140" s="214"/>
      <c r="K1140" s="34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</row>
    <row r="1141" ht="15.75" customHeight="1">
      <c r="A1141" s="34"/>
      <c r="B1141" s="34"/>
      <c r="C1141" s="34"/>
      <c r="D1141" s="212"/>
      <c r="E1141" s="34"/>
      <c r="F1141" s="213"/>
      <c r="G1141" s="213"/>
      <c r="H1141" s="34"/>
      <c r="I1141" s="214"/>
      <c r="J1141" s="214"/>
      <c r="K1141" s="34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</row>
    <row r="1142" ht="15.75" customHeight="1">
      <c r="A1142" s="34"/>
      <c r="B1142" s="34"/>
      <c r="C1142" s="34"/>
      <c r="D1142" s="212"/>
      <c r="E1142" s="34"/>
      <c r="F1142" s="213"/>
      <c r="G1142" s="213"/>
      <c r="H1142" s="34"/>
      <c r="I1142" s="214"/>
      <c r="J1142" s="214"/>
      <c r="K1142" s="34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</row>
    <row r="1143" ht="15.75" customHeight="1">
      <c r="A1143" s="34"/>
      <c r="B1143" s="34"/>
      <c r="C1143" s="34"/>
      <c r="D1143" s="212"/>
      <c r="E1143" s="34"/>
      <c r="F1143" s="213"/>
      <c r="G1143" s="213"/>
      <c r="H1143" s="34"/>
      <c r="I1143" s="214"/>
      <c r="J1143" s="21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</row>
    <row r="1144" ht="15.75" customHeight="1">
      <c r="A1144" s="34"/>
      <c r="B1144" s="34"/>
      <c r="C1144" s="34"/>
      <c r="D1144" s="212"/>
      <c r="E1144" s="34"/>
      <c r="F1144" s="213"/>
      <c r="G1144" s="213"/>
      <c r="H1144" s="34"/>
      <c r="I1144" s="214"/>
      <c r="J1144" s="214"/>
      <c r="K1144" s="34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</row>
    <row r="1145" ht="15.75" customHeight="1">
      <c r="A1145" s="34"/>
      <c r="B1145" s="34"/>
      <c r="C1145" s="34"/>
      <c r="D1145" s="212"/>
      <c r="E1145" s="34"/>
      <c r="F1145" s="213"/>
      <c r="G1145" s="213"/>
      <c r="H1145" s="34"/>
      <c r="I1145" s="214"/>
      <c r="J1145" s="214"/>
      <c r="K1145" s="34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</row>
    <row r="1146" ht="15.75" customHeight="1">
      <c r="A1146" s="34"/>
      <c r="B1146" s="34"/>
      <c r="C1146" s="34"/>
      <c r="D1146" s="212"/>
      <c r="E1146" s="34"/>
      <c r="F1146" s="213"/>
      <c r="G1146" s="213"/>
      <c r="H1146" s="34"/>
      <c r="I1146" s="214"/>
      <c r="J1146" s="214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</row>
    <row r="1147" ht="15.75" customHeight="1">
      <c r="A1147" s="34"/>
      <c r="B1147" s="34"/>
      <c r="C1147" s="34"/>
      <c r="D1147" s="212"/>
      <c r="E1147" s="34"/>
      <c r="F1147" s="213"/>
      <c r="G1147" s="213"/>
      <c r="H1147" s="34"/>
      <c r="I1147" s="214"/>
      <c r="J1147" s="21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</row>
    <row r="1148" ht="15.75" customHeight="1">
      <c r="A1148" s="34"/>
      <c r="B1148" s="34"/>
      <c r="C1148" s="34"/>
      <c r="D1148" s="212"/>
      <c r="E1148" s="34"/>
      <c r="F1148" s="213"/>
      <c r="G1148" s="213"/>
      <c r="H1148" s="34"/>
      <c r="I1148" s="214"/>
      <c r="J1148" s="214"/>
      <c r="K1148" s="34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</row>
    <row r="1149" ht="15.75" customHeight="1">
      <c r="A1149" s="34"/>
      <c r="B1149" s="34"/>
      <c r="C1149" s="34"/>
      <c r="D1149" s="212"/>
      <c r="E1149" s="34"/>
      <c r="F1149" s="213"/>
      <c r="G1149" s="213"/>
      <c r="H1149" s="34"/>
      <c r="I1149" s="214"/>
      <c r="J1149" s="214"/>
      <c r="K1149" s="34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</row>
    <row r="1150" ht="15.75" customHeight="1">
      <c r="A1150" s="34"/>
      <c r="B1150" s="34"/>
      <c r="C1150" s="34"/>
      <c r="D1150" s="212"/>
      <c r="E1150" s="34"/>
      <c r="F1150" s="213"/>
      <c r="G1150" s="213"/>
      <c r="H1150" s="34"/>
      <c r="I1150" s="214"/>
      <c r="J1150" s="21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</row>
    <row r="1151" ht="15.75" customHeight="1">
      <c r="A1151" s="34"/>
      <c r="B1151" s="34"/>
      <c r="C1151" s="34"/>
      <c r="D1151" s="212"/>
      <c r="E1151" s="34"/>
      <c r="F1151" s="213"/>
      <c r="G1151" s="213"/>
      <c r="H1151" s="34"/>
      <c r="I1151" s="214"/>
      <c r="J1151" s="21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</row>
    <row r="1152" ht="15.75" customHeight="1">
      <c r="A1152" s="34"/>
      <c r="B1152" s="34"/>
      <c r="C1152" s="34"/>
      <c r="D1152" s="212"/>
      <c r="E1152" s="34"/>
      <c r="F1152" s="213"/>
      <c r="G1152" s="213"/>
      <c r="H1152" s="34"/>
      <c r="I1152" s="214"/>
      <c r="J1152" s="21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</row>
    <row r="1153" ht="15.75" customHeight="1">
      <c r="A1153" s="34"/>
      <c r="B1153" s="34"/>
      <c r="C1153" s="34"/>
      <c r="D1153" s="212"/>
      <c r="E1153" s="34"/>
      <c r="F1153" s="213"/>
      <c r="G1153" s="213"/>
      <c r="H1153" s="34"/>
      <c r="I1153" s="214"/>
      <c r="J1153" s="214"/>
      <c r="K1153" s="34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</row>
    <row r="1154" ht="15.75" customHeight="1">
      <c r="A1154" s="34"/>
      <c r="B1154" s="34"/>
      <c r="C1154" s="34"/>
      <c r="D1154" s="212"/>
      <c r="E1154" s="34"/>
      <c r="F1154" s="213"/>
      <c r="G1154" s="213"/>
      <c r="H1154" s="34"/>
      <c r="I1154" s="214"/>
      <c r="J1154" s="214"/>
      <c r="K1154" s="34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</row>
    <row r="1155" ht="15.75" customHeight="1">
      <c r="A1155" s="34"/>
      <c r="B1155" s="34"/>
      <c r="C1155" s="34"/>
      <c r="D1155" s="212"/>
      <c r="E1155" s="34"/>
      <c r="F1155" s="213"/>
      <c r="G1155" s="213"/>
      <c r="H1155" s="34"/>
      <c r="I1155" s="214"/>
      <c r="J1155" s="214"/>
      <c r="K1155" s="34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</row>
    <row r="1156" ht="15.75" customHeight="1">
      <c r="A1156" s="34"/>
      <c r="B1156" s="34"/>
      <c r="C1156" s="34"/>
      <c r="D1156" s="212"/>
      <c r="E1156" s="34"/>
      <c r="F1156" s="213"/>
      <c r="G1156" s="213"/>
      <c r="H1156" s="34"/>
      <c r="I1156" s="214"/>
      <c r="J1156" s="214"/>
      <c r="K1156" s="34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</row>
    <row r="1157" ht="15.75" customHeight="1">
      <c r="A1157" s="34"/>
      <c r="B1157" s="34"/>
      <c r="C1157" s="34"/>
      <c r="D1157" s="212"/>
      <c r="E1157" s="34"/>
      <c r="F1157" s="213"/>
      <c r="G1157" s="213"/>
      <c r="H1157" s="34"/>
      <c r="I1157" s="214"/>
      <c r="J1157" s="214"/>
      <c r="K1157" s="34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</row>
    <row r="1158" ht="15.75" customHeight="1">
      <c r="A1158" s="34"/>
      <c r="B1158" s="34"/>
      <c r="C1158" s="34"/>
      <c r="D1158" s="212"/>
      <c r="E1158" s="34"/>
      <c r="F1158" s="213"/>
      <c r="G1158" s="213"/>
      <c r="H1158" s="34"/>
      <c r="I1158" s="214"/>
      <c r="J1158" s="21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</row>
    <row r="1159" ht="15.75" customHeight="1">
      <c r="A1159" s="34"/>
      <c r="B1159" s="34"/>
      <c r="C1159" s="34"/>
      <c r="D1159" s="212"/>
      <c r="E1159" s="34"/>
      <c r="F1159" s="213"/>
      <c r="G1159" s="213"/>
      <c r="H1159" s="34"/>
      <c r="I1159" s="214"/>
      <c r="J1159" s="214"/>
      <c r="K1159" s="34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</row>
    <row r="1160" ht="15.75" customHeight="1">
      <c r="A1160" s="34"/>
      <c r="B1160" s="34"/>
      <c r="C1160" s="34"/>
      <c r="D1160" s="212"/>
      <c r="E1160" s="34"/>
      <c r="F1160" s="213"/>
      <c r="G1160" s="213"/>
      <c r="H1160" s="34"/>
      <c r="I1160" s="214"/>
      <c r="J1160" s="214"/>
      <c r="K1160" s="34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</row>
    <row r="1161" ht="15.75" customHeight="1">
      <c r="A1161" s="34"/>
      <c r="B1161" s="34"/>
      <c r="C1161" s="34"/>
      <c r="D1161" s="212"/>
      <c r="E1161" s="34"/>
      <c r="F1161" s="213"/>
      <c r="G1161" s="213"/>
      <c r="H1161" s="34"/>
      <c r="I1161" s="214"/>
      <c r="J1161" s="21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</row>
    <row r="1162" ht="15.75" customHeight="1">
      <c r="A1162" s="34"/>
      <c r="B1162" s="34"/>
      <c r="C1162" s="34"/>
      <c r="D1162" s="212"/>
      <c r="E1162" s="34"/>
      <c r="F1162" s="213"/>
      <c r="G1162" s="213"/>
      <c r="H1162" s="34"/>
      <c r="I1162" s="214"/>
      <c r="J1162" s="214"/>
      <c r="K1162" s="34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</row>
    <row r="1163" ht="15.75" customHeight="1">
      <c r="A1163" s="34"/>
      <c r="B1163" s="34"/>
      <c r="C1163" s="34"/>
      <c r="D1163" s="212"/>
      <c r="E1163" s="34"/>
      <c r="F1163" s="213"/>
      <c r="G1163" s="213"/>
      <c r="H1163" s="34"/>
      <c r="I1163" s="214"/>
      <c r="J1163" s="214"/>
      <c r="K1163" s="34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</row>
    <row r="1164" ht="15.75" customHeight="1">
      <c r="A1164" s="34"/>
      <c r="B1164" s="34"/>
      <c r="C1164" s="34"/>
      <c r="D1164" s="212"/>
      <c r="E1164" s="34"/>
      <c r="F1164" s="213"/>
      <c r="G1164" s="213"/>
      <c r="H1164" s="34"/>
      <c r="I1164" s="214"/>
      <c r="J1164" s="21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</row>
    <row r="1165" ht="15.75" customHeight="1">
      <c r="A1165" s="34"/>
      <c r="B1165" s="34"/>
      <c r="C1165" s="34"/>
      <c r="D1165" s="212"/>
      <c r="E1165" s="34"/>
      <c r="F1165" s="213"/>
      <c r="G1165" s="213"/>
      <c r="H1165" s="34"/>
      <c r="I1165" s="214"/>
      <c r="J1165" s="214"/>
      <c r="K1165" s="34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</row>
    <row r="1166" ht="15.75" customHeight="1">
      <c r="A1166" s="34"/>
      <c r="B1166" s="34"/>
      <c r="C1166" s="34"/>
      <c r="D1166" s="212"/>
      <c r="E1166" s="34"/>
      <c r="F1166" s="213"/>
      <c r="G1166" s="213"/>
      <c r="H1166" s="34"/>
      <c r="I1166" s="214"/>
      <c r="J1166" s="214"/>
      <c r="K1166" s="34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</row>
    <row r="1167" ht="15.75" customHeight="1">
      <c r="A1167" s="34"/>
      <c r="B1167" s="34"/>
      <c r="C1167" s="34"/>
      <c r="D1167" s="212"/>
      <c r="E1167" s="34"/>
      <c r="F1167" s="213"/>
      <c r="G1167" s="213"/>
      <c r="H1167" s="34"/>
      <c r="I1167" s="214"/>
      <c r="J1167" s="214"/>
      <c r="K1167" s="34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</row>
    <row r="1168" ht="15.75" customHeight="1">
      <c r="A1168" s="34"/>
      <c r="B1168" s="34"/>
      <c r="C1168" s="34"/>
      <c r="D1168" s="212"/>
      <c r="E1168" s="34"/>
      <c r="F1168" s="213"/>
      <c r="G1168" s="213"/>
      <c r="H1168" s="34"/>
      <c r="I1168" s="214"/>
      <c r="J1168" s="214"/>
      <c r="K1168" s="34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</row>
    <row r="1169" ht="15.75" customHeight="1">
      <c r="A1169" s="34"/>
      <c r="B1169" s="34"/>
      <c r="C1169" s="34"/>
      <c r="D1169" s="212"/>
      <c r="E1169" s="34"/>
      <c r="F1169" s="213"/>
      <c r="G1169" s="213"/>
      <c r="H1169" s="34"/>
      <c r="I1169" s="214"/>
      <c r="J1169" s="21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</row>
    <row r="1170" ht="15.75" customHeight="1">
      <c r="A1170" s="34"/>
      <c r="B1170" s="34"/>
      <c r="C1170" s="34"/>
      <c r="D1170" s="212"/>
      <c r="E1170" s="34"/>
      <c r="F1170" s="213"/>
      <c r="G1170" s="213"/>
      <c r="H1170" s="34"/>
      <c r="I1170" s="214"/>
      <c r="J1170" s="214"/>
      <c r="K1170" s="34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</row>
    <row r="1171" ht="15.75" customHeight="1">
      <c r="A1171" s="34"/>
      <c r="B1171" s="34"/>
      <c r="C1171" s="34"/>
      <c r="D1171" s="212"/>
      <c r="E1171" s="34"/>
      <c r="F1171" s="213"/>
      <c r="G1171" s="213"/>
      <c r="H1171" s="34"/>
      <c r="I1171" s="214"/>
      <c r="J1171" s="21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</row>
    <row r="1172" ht="15.75" customHeight="1">
      <c r="A1172" s="34"/>
      <c r="B1172" s="34"/>
      <c r="C1172" s="34"/>
      <c r="D1172" s="212"/>
      <c r="E1172" s="34"/>
      <c r="F1172" s="213"/>
      <c r="G1172" s="213"/>
      <c r="H1172" s="34"/>
      <c r="I1172" s="214"/>
      <c r="J1172" s="214"/>
      <c r="K1172" s="34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</row>
    <row r="1173" ht="15.75" customHeight="1">
      <c r="A1173" s="34"/>
      <c r="B1173" s="34"/>
      <c r="C1173" s="34"/>
      <c r="D1173" s="212"/>
      <c r="E1173" s="34"/>
      <c r="F1173" s="213"/>
      <c r="G1173" s="213"/>
      <c r="H1173" s="34"/>
      <c r="I1173" s="214"/>
      <c r="J1173" s="21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</row>
    <row r="1174" ht="15.75" customHeight="1">
      <c r="A1174" s="34"/>
      <c r="B1174" s="34"/>
      <c r="C1174" s="34"/>
      <c r="D1174" s="212"/>
      <c r="E1174" s="34"/>
      <c r="F1174" s="213"/>
      <c r="G1174" s="213"/>
      <c r="H1174" s="34"/>
      <c r="I1174" s="214"/>
      <c r="J1174" s="214"/>
      <c r="K1174" s="34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</row>
    <row r="1175" ht="15.75" customHeight="1">
      <c r="A1175" s="34"/>
      <c r="B1175" s="34"/>
      <c r="C1175" s="34"/>
      <c r="D1175" s="212"/>
      <c r="E1175" s="34"/>
      <c r="F1175" s="213"/>
      <c r="G1175" s="213"/>
      <c r="H1175" s="34"/>
      <c r="I1175" s="214"/>
      <c r="J1175" s="214"/>
      <c r="K1175" s="34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</row>
    <row r="1176" ht="15.75" customHeight="1">
      <c r="A1176" s="34"/>
      <c r="B1176" s="34"/>
      <c r="C1176" s="34"/>
      <c r="D1176" s="212"/>
      <c r="E1176" s="34"/>
      <c r="F1176" s="213"/>
      <c r="G1176" s="213"/>
      <c r="H1176" s="34"/>
      <c r="I1176" s="214"/>
      <c r="J1176" s="214"/>
      <c r="K1176" s="34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</row>
    <row r="1177" ht="15.75" customHeight="1">
      <c r="A1177" s="34"/>
      <c r="B1177" s="34"/>
      <c r="C1177" s="34"/>
      <c r="D1177" s="212"/>
      <c r="E1177" s="34"/>
      <c r="F1177" s="213"/>
      <c r="G1177" s="213"/>
      <c r="H1177" s="34"/>
      <c r="I1177" s="214"/>
      <c r="J1177" s="214"/>
      <c r="K1177" s="34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</row>
    <row r="1178" ht="15.75" customHeight="1">
      <c r="A1178" s="34"/>
      <c r="B1178" s="34"/>
      <c r="C1178" s="34"/>
      <c r="D1178" s="212"/>
      <c r="E1178" s="34"/>
      <c r="F1178" s="213"/>
      <c r="G1178" s="213"/>
      <c r="H1178" s="34"/>
      <c r="I1178" s="214"/>
      <c r="J1178" s="214"/>
      <c r="K1178" s="34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</row>
    <row r="1179" ht="15.75" customHeight="1">
      <c r="A1179" s="34"/>
      <c r="B1179" s="34"/>
      <c r="C1179" s="34"/>
      <c r="D1179" s="212"/>
      <c r="E1179" s="34"/>
      <c r="F1179" s="213"/>
      <c r="G1179" s="213"/>
      <c r="H1179" s="34"/>
      <c r="I1179" s="214"/>
      <c r="J1179" s="214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</row>
    <row r="1180" ht="15.75" customHeight="1">
      <c r="A1180" s="34"/>
      <c r="B1180" s="34"/>
      <c r="C1180" s="34"/>
      <c r="D1180" s="212"/>
      <c r="E1180" s="34"/>
      <c r="F1180" s="213"/>
      <c r="G1180" s="213"/>
      <c r="H1180" s="34"/>
      <c r="I1180" s="214"/>
      <c r="J1180" s="214"/>
      <c r="K1180" s="34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</row>
    <row r="1181" ht="15.75" customHeight="1">
      <c r="A1181" s="34"/>
      <c r="B1181" s="34"/>
      <c r="C1181" s="34"/>
      <c r="D1181" s="212"/>
      <c r="E1181" s="34"/>
      <c r="F1181" s="213"/>
      <c r="G1181" s="213"/>
      <c r="H1181" s="34"/>
      <c r="I1181" s="214"/>
      <c r="J1181" s="214"/>
      <c r="K1181" s="34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  <c r="X1181" s="34"/>
      <c r="Y1181" s="34"/>
      <c r="Z1181" s="34"/>
    </row>
    <row r="1182" ht="15.75" customHeight="1">
      <c r="A1182" s="34"/>
      <c r="B1182" s="34"/>
      <c r="C1182" s="34"/>
      <c r="D1182" s="212"/>
      <c r="E1182" s="34"/>
      <c r="F1182" s="213"/>
      <c r="G1182" s="213"/>
      <c r="H1182" s="34"/>
      <c r="I1182" s="214"/>
      <c r="J1182" s="214"/>
      <c r="K1182" s="34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  <c r="X1182" s="34"/>
      <c r="Y1182" s="34"/>
      <c r="Z1182" s="34"/>
    </row>
    <row r="1183" ht="15.75" customHeight="1">
      <c r="A1183" s="34"/>
      <c r="B1183" s="34"/>
      <c r="C1183" s="34"/>
      <c r="D1183" s="212"/>
      <c r="E1183" s="34"/>
      <c r="F1183" s="213"/>
      <c r="G1183" s="213"/>
      <c r="H1183" s="34"/>
      <c r="I1183" s="214"/>
      <c r="J1183" s="214"/>
      <c r="K1183" s="34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</row>
    <row r="1184" ht="15.75" customHeight="1">
      <c r="A1184" s="34"/>
      <c r="B1184" s="34"/>
      <c r="C1184" s="34"/>
      <c r="D1184" s="212"/>
      <c r="E1184" s="34"/>
      <c r="F1184" s="213"/>
      <c r="G1184" s="213"/>
      <c r="H1184" s="34"/>
      <c r="I1184" s="214"/>
      <c r="J1184" s="214"/>
      <c r="K1184" s="34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</row>
    <row r="1185" ht="15.75" customHeight="1">
      <c r="A1185" s="34"/>
      <c r="B1185" s="34"/>
      <c r="C1185" s="34"/>
      <c r="D1185" s="212"/>
      <c r="E1185" s="34"/>
      <c r="F1185" s="213"/>
      <c r="G1185" s="213"/>
      <c r="H1185" s="34"/>
      <c r="I1185" s="214"/>
      <c r="J1185" s="214"/>
      <c r="K1185" s="34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</row>
    <row r="1186" ht="15.75" customHeight="1">
      <c r="A1186" s="34"/>
      <c r="B1186" s="34"/>
      <c r="C1186" s="34"/>
      <c r="D1186" s="212"/>
      <c r="E1186" s="34"/>
      <c r="F1186" s="213"/>
      <c r="G1186" s="213"/>
      <c r="H1186" s="34"/>
      <c r="I1186" s="214"/>
      <c r="J1186" s="214"/>
      <c r="K1186" s="34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</row>
    <row r="1187" ht="15.75" customHeight="1">
      <c r="A1187" s="34"/>
      <c r="B1187" s="34"/>
      <c r="C1187" s="34"/>
      <c r="D1187" s="212"/>
      <c r="E1187" s="34"/>
      <c r="F1187" s="213"/>
      <c r="G1187" s="213"/>
      <c r="H1187" s="34"/>
      <c r="I1187" s="214"/>
      <c r="J1187" s="214"/>
      <c r="K1187" s="34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</row>
    <row r="1188" ht="15.75" customHeight="1">
      <c r="A1188" s="34"/>
      <c r="B1188" s="34"/>
      <c r="C1188" s="34"/>
      <c r="D1188" s="212"/>
      <c r="E1188" s="34"/>
      <c r="F1188" s="213"/>
      <c r="G1188" s="213"/>
      <c r="H1188" s="34"/>
      <c r="I1188" s="214"/>
      <c r="J1188" s="214"/>
      <c r="K1188" s="34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</row>
    <row r="1189" ht="15.75" customHeight="1">
      <c r="A1189" s="34"/>
      <c r="B1189" s="34"/>
      <c r="C1189" s="34"/>
      <c r="D1189" s="212"/>
      <c r="E1189" s="34"/>
      <c r="F1189" s="213"/>
      <c r="G1189" s="213"/>
      <c r="H1189" s="34"/>
      <c r="I1189" s="214"/>
      <c r="J1189" s="214"/>
      <c r="K1189" s="34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</row>
    <row r="1190" ht="15.75" customHeight="1">
      <c r="A1190" s="34"/>
      <c r="B1190" s="34"/>
      <c r="C1190" s="34"/>
      <c r="D1190" s="212"/>
      <c r="E1190" s="34"/>
      <c r="F1190" s="213"/>
      <c r="G1190" s="213"/>
      <c r="H1190" s="34"/>
      <c r="I1190" s="214"/>
      <c r="J1190" s="214"/>
      <c r="K1190" s="34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</row>
    <row r="1191" ht="15.75" customHeight="1">
      <c r="A1191" s="34"/>
      <c r="B1191" s="34"/>
      <c r="C1191" s="34"/>
      <c r="D1191" s="212"/>
      <c r="E1191" s="34"/>
      <c r="F1191" s="213"/>
      <c r="G1191" s="213"/>
      <c r="H1191" s="34"/>
      <c r="I1191" s="214"/>
      <c r="J1191" s="214"/>
      <c r="K1191" s="34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  <c r="X1191" s="34"/>
      <c r="Y1191" s="34"/>
      <c r="Z1191" s="34"/>
    </row>
    <row r="1192" ht="15.75" customHeight="1">
      <c r="A1192" s="34"/>
      <c r="B1192" s="34"/>
      <c r="C1192" s="34"/>
      <c r="D1192" s="212"/>
      <c r="E1192" s="34"/>
      <c r="F1192" s="213"/>
      <c r="G1192" s="213"/>
      <c r="H1192" s="34"/>
      <c r="I1192" s="214"/>
      <c r="J1192" s="21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</row>
    <row r="1193" ht="15.75" customHeight="1">
      <c r="A1193" s="34"/>
      <c r="B1193" s="34"/>
      <c r="C1193" s="34"/>
      <c r="D1193" s="212"/>
      <c r="E1193" s="34"/>
      <c r="F1193" s="213"/>
      <c r="G1193" s="213"/>
      <c r="H1193" s="34"/>
      <c r="I1193" s="214"/>
      <c r="J1193" s="214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</row>
    <row r="1194" ht="15.75" customHeight="1">
      <c r="A1194" s="34"/>
      <c r="B1194" s="34"/>
      <c r="C1194" s="34"/>
      <c r="D1194" s="212"/>
      <c r="E1194" s="34"/>
      <c r="F1194" s="213"/>
      <c r="G1194" s="213"/>
      <c r="H1194" s="34"/>
      <c r="I1194" s="214"/>
      <c r="J1194" s="21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</row>
    <row r="1195" ht="15.75" customHeight="1">
      <c r="A1195" s="34"/>
      <c r="B1195" s="34"/>
      <c r="C1195" s="34"/>
      <c r="D1195" s="212"/>
      <c r="E1195" s="34"/>
      <c r="F1195" s="213"/>
      <c r="G1195" s="213"/>
      <c r="H1195" s="34"/>
      <c r="I1195" s="214"/>
      <c r="J1195" s="214"/>
      <c r="K1195" s="34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</row>
    <row r="1196" ht="15.75" customHeight="1">
      <c r="A1196" s="34"/>
      <c r="B1196" s="34"/>
      <c r="C1196" s="34"/>
      <c r="D1196" s="212"/>
      <c r="E1196" s="34"/>
      <c r="F1196" s="213"/>
      <c r="G1196" s="213"/>
      <c r="H1196" s="34"/>
      <c r="I1196" s="214"/>
      <c r="J1196" s="214"/>
      <c r="K1196" s="34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</row>
    <row r="1197" ht="15.75" customHeight="1">
      <c r="A1197" s="34"/>
      <c r="B1197" s="34"/>
      <c r="C1197" s="34"/>
      <c r="D1197" s="212"/>
      <c r="E1197" s="34"/>
      <c r="F1197" s="213"/>
      <c r="G1197" s="213"/>
      <c r="H1197" s="34"/>
      <c r="I1197" s="214"/>
      <c r="J1197" s="21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</row>
    <row r="1198" ht="15.75" customHeight="1">
      <c r="A1198" s="34"/>
      <c r="B1198" s="34"/>
      <c r="C1198" s="34"/>
      <c r="D1198" s="212"/>
      <c r="E1198" s="34"/>
      <c r="F1198" s="213"/>
      <c r="G1198" s="213"/>
      <c r="H1198" s="34"/>
      <c r="I1198" s="214"/>
      <c r="J1198" s="21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</row>
    <row r="1199" ht="15.75" customHeight="1">
      <c r="A1199" s="34"/>
      <c r="B1199" s="34"/>
      <c r="C1199" s="34"/>
      <c r="D1199" s="212"/>
      <c r="E1199" s="34"/>
      <c r="F1199" s="213"/>
      <c r="G1199" s="213"/>
      <c r="H1199" s="34"/>
      <c r="I1199" s="214"/>
      <c r="J1199" s="214"/>
      <c r="K1199" s="34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</row>
    <row r="1200" ht="15.75" customHeight="1">
      <c r="A1200" s="34"/>
      <c r="B1200" s="34"/>
      <c r="C1200" s="34"/>
      <c r="D1200" s="212"/>
      <c r="E1200" s="34"/>
      <c r="F1200" s="213"/>
      <c r="G1200" s="213"/>
      <c r="H1200" s="34"/>
      <c r="I1200" s="214"/>
      <c r="J1200" s="214"/>
      <c r="K1200" s="34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</row>
    <row r="1201" ht="15.75" customHeight="1">
      <c r="A1201" s="34"/>
      <c r="B1201" s="34"/>
      <c r="C1201" s="34"/>
      <c r="D1201" s="212"/>
      <c r="E1201" s="34"/>
      <c r="F1201" s="213"/>
      <c r="G1201" s="213"/>
      <c r="H1201" s="34"/>
      <c r="I1201" s="214"/>
      <c r="J1201" s="214"/>
      <c r="K1201" s="34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</row>
    <row r="1202" ht="15.75" customHeight="1">
      <c r="A1202" s="34"/>
      <c r="B1202" s="34"/>
      <c r="C1202" s="34"/>
      <c r="D1202" s="212"/>
      <c r="E1202" s="34"/>
      <c r="F1202" s="213"/>
      <c r="G1202" s="213"/>
      <c r="H1202" s="34"/>
      <c r="I1202" s="214"/>
      <c r="J1202" s="21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</row>
    <row r="1203" ht="15.75" customHeight="1">
      <c r="A1203" s="34"/>
      <c r="B1203" s="34"/>
      <c r="C1203" s="34"/>
      <c r="D1203" s="212"/>
      <c r="E1203" s="34"/>
      <c r="F1203" s="213"/>
      <c r="G1203" s="213"/>
      <c r="H1203" s="34"/>
      <c r="I1203" s="214"/>
      <c r="J1203" s="214"/>
      <c r="K1203" s="34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</row>
    <row r="1204" ht="15.75" customHeight="1">
      <c r="A1204" s="34"/>
      <c r="B1204" s="34"/>
      <c r="C1204" s="34"/>
      <c r="D1204" s="212"/>
      <c r="E1204" s="34"/>
      <c r="F1204" s="213"/>
      <c r="G1204" s="213"/>
      <c r="H1204" s="34"/>
      <c r="I1204" s="214"/>
      <c r="J1204" s="214"/>
      <c r="K1204" s="34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</row>
    <row r="1205" ht="15.75" customHeight="1">
      <c r="A1205" s="34"/>
      <c r="B1205" s="34"/>
      <c r="C1205" s="34"/>
      <c r="D1205" s="212"/>
      <c r="E1205" s="34"/>
      <c r="F1205" s="213"/>
      <c r="G1205" s="213"/>
      <c r="H1205" s="34"/>
      <c r="I1205" s="214"/>
      <c r="J1205" s="21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</row>
    <row r="1206" ht="15.75" customHeight="1">
      <c r="A1206" s="34"/>
      <c r="B1206" s="34"/>
      <c r="C1206" s="34"/>
      <c r="D1206" s="212"/>
      <c r="E1206" s="34"/>
      <c r="F1206" s="213"/>
      <c r="G1206" s="213"/>
      <c r="H1206" s="34"/>
      <c r="I1206" s="214"/>
      <c r="J1206" s="21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</row>
    <row r="1207" ht="15.75" customHeight="1">
      <c r="A1207" s="34"/>
      <c r="B1207" s="34"/>
      <c r="C1207" s="34"/>
      <c r="D1207" s="212"/>
      <c r="E1207" s="34"/>
      <c r="F1207" s="213"/>
      <c r="G1207" s="213"/>
      <c r="H1207" s="34"/>
      <c r="I1207" s="214"/>
      <c r="J1207" s="214"/>
      <c r="K1207" s="34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</row>
    <row r="1208" ht="15.75" customHeight="1">
      <c r="A1208" s="34"/>
      <c r="B1208" s="34"/>
      <c r="C1208" s="34"/>
      <c r="D1208" s="212"/>
      <c r="E1208" s="34"/>
      <c r="F1208" s="213"/>
      <c r="G1208" s="213"/>
      <c r="H1208" s="34"/>
      <c r="I1208" s="214"/>
      <c r="J1208" s="21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</row>
    <row r="1209" ht="15.75" customHeight="1">
      <c r="A1209" s="34"/>
      <c r="B1209" s="34"/>
      <c r="C1209" s="34"/>
      <c r="D1209" s="212"/>
      <c r="E1209" s="34"/>
      <c r="F1209" s="213"/>
      <c r="G1209" s="213"/>
      <c r="H1209" s="34"/>
      <c r="I1209" s="214"/>
      <c r="J1209" s="214"/>
      <c r="K1209" s="34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</row>
    <row r="1210" ht="15.75" customHeight="1">
      <c r="A1210" s="34"/>
      <c r="B1210" s="34"/>
      <c r="C1210" s="34"/>
      <c r="D1210" s="212"/>
      <c r="E1210" s="34"/>
      <c r="F1210" s="213"/>
      <c r="G1210" s="213"/>
      <c r="H1210" s="34"/>
      <c r="I1210" s="214"/>
      <c r="J1210" s="214"/>
      <c r="K1210" s="34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</row>
    <row r="1211" ht="15.75" customHeight="1">
      <c r="A1211" s="34"/>
      <c r="B1211" s="34"/>
      <c r="C1211" s="34"/>
      <c r="D1211" s="212"/>
      <c r="E1211" s="34"/>
      <c r="F1211" s="213"/>
      <c r="G1211" s="213"/>
      <c r="H1211" s="34"/>
      <c r="I1211" s="214"/>
      <c r="J1211" s="21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</row>
    <row r="1212" ht="15.75" customHeight="1">
      <c r="A1212" s="34"/>
      <c r="B1212" s="34"/>
      <c r="C1212" s="34"/>
      <c r="D1212" s="212"/>
      <c r="E1212" s="34"/>
      <c r="F1212" s="213"/>
      <c r="G1212" s="213"/>
      <c r="H1212" s="34"/>
      <c r="I1212" s="214"/>
      <c r="J1212" s="214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</row>
    <row r="1213" ht="15.75" customHeight="1">
      <c r="A1213" s="34"/>
      <c r="B1213" s="34"/>
      <c r="C1213" s="34"/>
      <c r="D1213" s="212"/>
      <c r="E1213" s="34"/>
      <c r="F1213" s="213"/>
      <c r="G1213" s="213"/>
      <c r="H1213" s="34"/>
      <c r="I1213" s="214"/>
      <c r="J1213" s="214"/>
      <c r="K1213" s="34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</row>
    <row r="1214" ht="15.75" customHeight="1">
      <c r="A1214" s="34"/>
      <c r="B1214" s="34"/>
      <c r="C1214" s="34"/>
      <c r="D1214" s="212"/>
      <c r="E1214" s="34"/>
      <c r="F1214" s="213"/>
      <c r="G1214" s="213"/>
      <c r="H1214" s="34"/>
      <c r="I1214" s="214"/>
      <c r="J1214" s="214"/>
      <c r="K1214" s="34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</row>
    <row r="1215" ht="15.75" customHeight="1">
      <c r="A1215" s="34"/>
      <c r="B1215" s="34"/>
      <c r="C1215" s="34"/>
      <c r="D1215" s="212"/>
      <c r="E1215" s="34"/>
      <c r="F1215" s="213"/>
      <c r="G1215" s="213"/>
      <c r="H1215" s="34"/>
      <c r="I1215" s="214"/>
      <c r="J1215" s="214"/>
      <c r="K1215" s="34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</row>
    <row r="1216" ht="15.75" customHeight="1">
      <c r="A1216" s="34"/>
      <c r="B1216" s="34"/>
      <c r="C1216" s="34"/>
      <c r="D1216" s="212"/>
      <c r="E1216" s="34"/>
      <c r="F1216" s="213"/>
      <c r="G1216" s="213"/>
      <c r="H1216" s="34"/>
      <c r="I1216" s="214"/>
      <c r="J1216" s="21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</row>
    <row r="1217" ht="15.75" customHeight="1">
      <c r="A1217" s="34"/>
      <c r="B1217" s="34"/>
      <c r="C1217" s="34"/>
      <c r="D1217" s="212"/>
      <c r="E1217" s="34"/>
      <c r="F1217" s="213"/>
      <c r="G1217" s="213"/>
      <c r="H1217" s="34"/>
      <c r="I1217" s="214"/>
      <c r="J1217" s="214"/>
      <c r="K1217" s="34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</row>
    <row r="1218" ht="15.75" customHeight="1">
      <c r="A1218" s="34"/>
      <c r="B1218" s="34"/>
      <c r="C1218" s="34"/>
      <c r="D1218" s="212"/>
      <c r="E1218" s="34"/>
      <c r="F1218" s="213"/>
      <c r="G1218" s="213"/>
      <c r="H1218" s="34"/>
      <c r="I1218" s="214"/>
      <c r="J1218" s="214"/>
      <c r="K1218" s="34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</row>
    <row r="1219" ht="15.75" customHeight="1">
      <c r="A1219" s="34"/>
      <c r="B1219" s="34"/>
      <c r="C1219" s="34"/>
      <c r="D1219" s="212"/>
      <c r="E1219" s="34"/>
      <c r="F1219" s="213"/>
      <c r="G1219" s="213"/>
      <c r="H1219" s="34"/>
      <c r="I1219" s="214"/>
      <c r="J1219" s="214"/>
      <c r="K1219" s="34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</row>
    <row r="1220" ht="15.75" customHeight="1">
      <c r="A1220" s="34"/>
      <c r="B1220" s="34"/>
      <c r="C1220" s="34"/>
      <c r="D1220" s="212"/>
      <c r="E1220" s="34"/>
      <c r="F1220" s="213"/>
      <c r="G1220" s="213"/>
      <c r="H1220" s="34"/>
      <c r="I1220" s="214"/>
      <c r="J1220" s="214"/>
      <c r="K1220" s="34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</row>
    <row r="1221" ht="15.75" customHeight="1">
      <c r="A1221" s="34"/>
      <c r="B1221" s="34"/>
      <c r="C1221" s="34"/>
      <c r="D1221" s="212"/>
      <c r="E1221" s="34"/>
      <c r="F1221" s="213"/>
      <c r="G1221" s="213"/>
      <c r="H1221" s="34"/>
      <c r="I1221" s="214"/>
      <c r="J1221" s="214"/>
      <c r="K1221" s="34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  <c r="X1221" s="34"/>
      <c r="Y1221" s="34"/>
      <c r="Z1221" s="34"/>
    </row>
    <row r="1222" ht="15.75" customHeight="1">
      <c r="A1222" s="34"/>
      <c r="B1222" s="34"/>
      <c r="C1222" s="34"/>
      <c r="D1222" s="212"/>
      <c r="E1222" s="34"/>
      <c r="F1222" s="213"/>
      <c r="G1222" s="213"/>
      <c r="H1222" s="34"/>
      <c r="I1222" s="214"/>
      <c r="J1222" s="214"/>
      <c r="K1222" s="34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</row>
    <row r="1223" ht="15.75" customHeight="1">
      <c r="A1223" s="34"/>
      <c r="B1223" s="34"/>
      <c r="C1223" s="34"/>
      <c r="D1223" s="212"/>
      <c r="E1223" s="34"/>
      <c r="F1223" s="213"/>
      <c r="G1223" s="213"/>
      <c r="H1223" s="34"/>
      <c r="I1223" s="214"/>
      <c r="J1223" s="214"/>
      <c r="K1223" s="34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</row>
    <row r="1224" ht="15.75" customHeight="1">
      <c r="A1224" s="34"/>
      <c r="B1224" s="34"/>
      <c r="C1224" s="34"/>
      <c r="D1224" s="212"/>
      <c r="E1224" s="34"/>
      <c r="F1224" s="213"/>
      <c r="G1224" s="213"/>
      <c r="H1224" s="34"/>
      <c r="I1224" s="214"/>
      <c r="J1224" s="214"/>
      <c r="K1224" s="34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</row>
    <row r="1225" ht="15.75" customHeight="1">
      <c r="A1225" s="34"/>
      <c r="B1225" s="34"/>
      <c r="C1225" s="34"/>
      <c r="D1225" s="212"/>
      <c r="E1225" s="34"/>
      <c r="F1225" s="213"/>
      <c r="G1225" s="213"/>
      <c r="H1225" s="34"/>
      <c r="I1225" s="214"/>
      <c r="J1225" s="214"/>
      <c r="K1225" s="34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  <c r="X1225" s="34"/>
      <c r="Y1225" s="34"/>
      <c r="Z1225" s="34"/>
    </row>
    <row r="1226" ht="15.75" customHeight="1">
      <c r="A1226" s="34"/>
      <c r="B1226" s="34"/>
      <c r="C1226" s="34"/>
      <c r="D1226" s="212"/>
      <c r="E1226" s="34"/>
      <c r="F1226" s="213"/>
      <c r="G1226" s="213"/>
      <c r="H1226" s="34"/>
      <c r="I1226" s="214"/>
      <c r="J1226" s="214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</row>
    <row r="1227" ht="15.75" customHeight="1">
      <c r="A1227" s="34"/>
      <c r="B1227" s="34"/>
      <c r="C1227" s="34"/>
      <c r="D1227" s="212"/>
      <c r="E1227" s="34"/>
      <c r="F1227" s="213"/>
      <c r="G1227" s="213"/>
      <c r="H1227" s="34"/>
      <c r="I1227" s="214"/>
      <c r="J1227" s="214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</row>
    <row r="1228" ht="15.75" customHeight="1">
      <c r="A1228" s="34"/>
      <c r="B1228" s="34"/>
      <c r="C1228" s="34"/>
      <c r="D1228" s="212"/>
      <c r="E1228" s="34"/>
      <c r="F1228" s="213"/>
      <c r="G1228" s="213"/>
      <c r="H1228" s="34"/>
      <c r="I1228" s="214"/>
      <c r="J1228" s="21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</row>
    <row r="1229" ht="15.75" customHeight="1">
      <c r="A1229" s="34"/>
      <c r="B1229" s="34"/>
      <c r="C1229" s="34"/>
      <c r="D1229" s="212"/>
      <c r="E1229" s="34"/>
      <c r="F1229" s="213"/>
      <c r="G1229" s="213"/>
      <c r="H1229" s="34"/>
      <c r="I1229" s="214"/>
      <c r="J1229" s="214"/>
      <c r="K1229" s="34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  <c r="X1229" s="34"/>
      <c r="Y1229" s="34"/>
      <c r="Z1229" s="34"/>
    </row>
    <row r="1230" ht="15.75" customHeight="1">
      <c r="A1230" s="34"/>
      <c r="B1230" s="34"/>
      <c r="C1230" s="34"/>
      <c r="D1230" s="212"/>
      <c r="E1230" s="34"/>
      <c r="F1230" s="213"/>
      <c r="G1230" s="213"/>
      <c r="H1230" s="34"/>
      <c r="I1230" s="214"/>
      <c r="J1230" s="21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</row>
    <row r="1231" ht="15.75" customHeight="1">
      <c r="A1231" s="34"/>
      <c r="B1231" s="34"/>
      <c r="C1231" s="34"/>
      <c r="D1231" s="212"/>
      <c r="E1231" s="34"/>
      <c r="F1231" s="213"/>
      <c r="G1231" s="213"/>
      <c r="H1231" s="34"/>
      <c r="I1231" s="214"/>
      <c r="J1231" s="21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</row>
    <row r="1232" ht="15.75" customHeight="1">
      <c r="A1232" s="34"/>
      <c r="B1232" s="34"/>
      <c r="C1232" s="34"/>
      <c r="D1232" s="212"/>
      <c r="E1232" s="34"/>
      <c r="F1232" s="213"/>
      <c r="G1232" s="213"/>
      <c r="H1232" s="34"/>
      <c r="I1232" s="214"/>
      <c r="J1232" s="21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</row>
    <row r="1233" ht="15.75" customHeight="1">
      <c r="A1233" s="34"/>
      <c r="B1233" s="34"/>
      <c r="C1233" s="34"/>
      <c r="D1233" s="212"/>
      <c r="E1233" s="34"/>
      <c r="F1233" s="213"/>
      <c r="G1233" s="213"/>
      <c r="H1233" s="34"/>
      <c r="I1233" s="214"/>
      <c r="J1233" s="214"/>
      <c r="K1233" s="34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</row>
    <row r="1234" ht="15.75" customHeight="1">
      <c r="A1234" s="34"/>
      <c r="B1234" s="34"/>
      <c r="C1234" s="34"/>
      <c r="D1234" s="212"/>
      <c r="E1234" s="34"/>
      <c r="F1234" s="213"/>
      <c r="G1234" s="213"/>
      <c r="H1234" s="34"/>
      <c r="I1234" s="214"/>
      <c r="J1234" s="214"/>
      <c r="K1234" s="34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</row>
    <row r="1235" ht="15.75" customHeight="1">
      <c r="A1235" s="34"/>
      <c r="B1235" s="34"/>
      <c r="C1235" s="34"/>
      <c r="D1235" s="212"/>
      <c r="E1235" s="34"/>
      <c r="F1235" s="213"/>
      <c r="G1235" s="213"/>
      <c r="H1235" s="34"/>
      <c r="I1235" s="214"/>
      <c r="J1235" s="214"/>
      <c r="K1235" s="34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</row>
    <row r="1236" ht="15.75" customHeight="1">
      <c r="A1236" s="34"/>
      <c r="B1236" s="34"/>
      <c r="C1236" s="34"/>
      <c r="D1236" s="212"/>
      <c r="E1236" s="34"/>
      <c r="F1236" s="213"/>
      <c r="G1236" s="213"/>
      <c r="H1236" s="34"/>
      <c r="I1236" s="214"/>
      <c r="J1236" s="214"/>
      <c r="K1236" s="34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</row>
    <row r="1237" ht="15.75" customHeight="1">
      <c r="A1237" s="34"/>
      <c r="B1237" s="34"/>
      <c r="C1237" s="34"/>
      <c r="D1237" s="212"/>
      <c r="E1237" s="34"/>
      <c r="F1237" s="213"/>
      <c r="G1237" s="213"/>
      <c r="H1237" s="34"/>
      <c r="I1237" s="214"/>
      <c r="J1237" s="214"/>
      <c r="K1237" s="34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</row>
    <row r="1238" ht="15.75" customHeight="1">
      <c r="A1238" s="34"/>
      <c r="B1238" s="34"/>
      <c r="C1238" s="34"/>
      <c r="D1238" s="212"/>
      <c r="E1238" s="34"/>
      <c r="F1238" s="213"/>
      <c r="G1238" s="213"/>
      <c r="H1238" s="34"/>
      <c r="I1238" s="214"/>
      <c r="J1238" s="214"/>
      <c r="K1238" s="34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</row>
    <row r="1239" ht="15.75" customHeight="1">
      <c r="A1239" s="34"/>
      <c r="B1239" s="34"/>
      <c r="C1239" s="34"/>
      <c r="D1239" s="212"/>
      <c r="E1239" s="34"/>
      <c r="F1239" s="213"/>
      <c r="G1239" s="213"/>
      <c r="H1239" s="34"/>
      <c r="I1239" s="214"/>
      <c r="J1239" s="21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</row>
    <row r="1240" ht="15.75" customHeight="1">
      <c r="A1240" s="34"/>
      <c r="B1240" s="34"/>
      <c r="C1240" s="34"/>
      <c r="D1240" s="212"/>
      <c r="E1240" s="34"/>
      <c r="F1240" s="213"/>
      <c r="G1240" s="213"/>
      <c r="H1240" s="34"/>
      <c r="I1240" s="214"/>
      <c r="J1240" s="214"/>
      <c r="K1240" s="34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</row>
    <row r="1241" ht="15.75" customHeight="1">
      <c r="A1241" s="34"/>
      <c r="B1241" s="34"/>
      <c r="C1241" s="34"/>
      <c r="D1241" s="212"/>
      <c r="E1241" s="34"/>
      <c r="F1241" s="213"/>
      <c r="G1241" s="213"/>
      <c r="H1241" s="34"/>
      <c r="I1241" s="214"/>
      <c r="J1241" s="214"/>
      <c r="K1241" s="34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</row>
    <row r="1242" ht="15.75" customHeight="1">
      <c r="A1242" s="34"/>
      <c r="B1242" s="34"/>
      <c r="C1242" s="34"/>
      <c r="D1242" s="212"/>
      <c r="E1242" s="34"/>
      <c r="F1242" s="213"/>
      <c r="G1242" s="213"/>
      <c r="H1242" s="34"/>
      <c r="I1242" s="214"/>
      <c r="J1242" s="21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</row>
    <row r="1243" ht="15.75" customHeight="1">
      <c r="A1243" s="34"/>
      <c r="B1243" s="34"/>
      <c r="C1243" s="34"/>
      <c r="D1243" s="212"/>
      <c r="E1243" s="34"/>
      <c r="F1243" s="213"/>
      <c r="G1243" s="213"/>
      <c r="H1243" s="34"/>
      <c r="I1243" s="214"/>
      <c r="J1243" s="21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</row>
    <row r="1244" ht="15.75" customHeight="1">
      <c r="A1244" s="34"/>
      <c r="B1244" s="34"/>
      <c r="C1244" s="34"/>
      <c r="D1244" s="212"/>
      <c r="E1244" s="34"/>
      <c r="F1244" s="213"/>
      <c r="G1244" s="213"/>
      <c r="H1244" s="34"/>
      <c r="I1244" s="214"/>
      <c r="J1244" s="21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</row>
    <row r="1245" ht="15.75" customHeight="1">
      <c r="A1245" s="34"/>
      <c r="B1245" s="34"/>
      <c r="C1245" s="34"/>
      <c r="D1245" s="212"/>
      <c r="E1245" s="34"/>
      <c r="F1245" s="213"/>
      <c r="G1245" s="213"/>
      <c r="H1245" s="34"/>
      <c r="I1245" s="214"/>
      <c r="J1245" s="21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</row>
    <row r="1246" ht="15.75" customHeight="1">
      <c r="A1246" s="34"/>
      <c r="B1246" s="34"/>
      <c r="C1246" s="34"/>
      <c r="D1246" s="212"/>
      <c r="E1246" s="34"/>
      <c r="F1246" s="213"/>
      <c r="G1246" s="213"/>
      <c r="H1246" s="34"/>
      <c r="I1246" s="214"/>
      <c r="J1246" s="214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</row>
    <row r="1247" ht="15.75" customHeight="1">
      <c r="A1247" s="34"/>
      <c r="B1247" s="34"/>
      <c r="C1247" s="34"/>
      <c r="D1247" s="212"/>
      <c r="E1247" s="34"/>
      <c r="F1247" s="213"/>
      <c r="G1247" s="213"/>
      <c r="H1247" s="34"/>
      <c r="I1247" s="214"/>
      <c r="J1247" s="214"/>
      <c r="K1247" s="34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</row>
    <row r="1248" ht="15.75" customHeight="1">
      <c r="A1248" s="34"/>
      <c r="B1248" s="34"/>
      <c r="C1248" s="34"/>
      <c r="D1248" s="212"/>
      <c r="E1248" s="34"/>
      <c r="F1248" s="213"/>
      <c r="G1248" s="213"/>
      <c r="H1248" s="34"/>
      <c r="I1248" s="214"/>
      <c r="J1248" s="214"/>
      <c r="K1248" s="34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</row>
    <row r="1249" ht="15.75" customHeight="1">
      <c r="A1249" s="34"/>
      <c r="B1249" s="34"/>
      <c r="C1249" s="34"/>
      <c r="D1249" s="212"/>
      <c r="E1249" s="34"/>
      <c r="F1249" s="213"/>
      <c r="G1249" s="213"/>
      <c r="H1249" s="34"/>
      <c r="I1249" s="214"/>
      <c r="J1249" s="214"/>
      <c r="K1249" s="34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</row>
    <row r="1250" ht="15.75" customHeight="1">
      <c r="A1250" s="34"/>
      <c r="B1250" s="34"/>
      <c r="C1250" s="34"/>
      <c r="D1250" s="212"/>
      <c r="E1250" s="34"/>
      <c r="F1250" s="213"/>
      <c r="G1250" s="213"/>
      <c r="H1250" s="34"/>
      <c r="I1250" s="214"/>
      <c r="J1250" s="21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</row>
    <row r="1251" ht="15.75" customHeight="1">
      <c r="A1251" s="34"/>
      <c r="B1251" s="34"/>
      <c r="C1251" s="34"/>
      <c r="D1251" s="212"/>
      <c r="E1251" s="34"/>
      <c r="F1251" s="213"/>
      <c r="G1251" s="213"/>
      <c r="H1251" s="34"/>
      <c r="I1251" s="214"/>
      <c r="J1251" s="21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</row>
    <row r="1252" ht="15.75" customHeight="1">
      <c r="A1252" s="34"/>
      <c r="B1252" s="34"/>
      <c r="C1252" s="34"/>
      <c r="D1252" s="212"/>
      <c r="E1252" s="34"/>
      <c r="F1252" s="213"/>
      <c r="G1252" s="213"/>
      <c r="H1252" s="34"/>
      <c r="I1252" s="214"/>
      <c r="J1252" s="214"/>
      <c r="K1252" s="34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</row>
    <row r="1253" ht="15.75" customHeight="1">
      <c r="A1253" s="34"/>
      <c r="B1253" s="34"/>
      <c r="C1253" s="34"/>
      <c r="D1253" s="212"/>
      <c r="E1253" s="34"/>
      <c r="F1253" s="213"/>
      <c r="G1253" s="213"/>
      <c r="H1253" s="34"/>
      <c r="I1253" s="214"/>
      <c r="J1253" s="214"/>
      <c r="K1253" s="34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</row>
    <row r="1254" ht="15.75" customHeight="1">
      <c r="A1254" s="34"/>
      <c r="B1254" s="34"/>
      <c r="C1254" s="34"/>
      <c r="D1254" s="212"/>
      <c r="E1254" s="34"/>
      <c r="F1254" s="213"/>
      <c r="G1254" s="213"/>
      <c r="H1254" s="34"/>
      <c r="I1254" s="214"/>
      <c r="J1254" s="214"/>
      <c r="K1254" s="34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</row>
    <row r="1255" ht="15.75" customHeight="1">
      <c r="A1255" s="34"/>
      <c r="B1255" s="34"/>
      <c r="C1255" s="34"/>
      <c r="D1255" s="212"/>
      <c r="E1255" s="34"/>
      <c r="F1255" s="213"/>
      <c r="G1255" s="213"/>
      <c r="H1255" s="34"/>
      <c r="I1255" s="214"/>
      <c r="J1255" s="214"/>
      <c r="K1255" s="34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</row>
    <row r="1256" ht="15.75" customHeight="1">
      <c r="A1256" s="34"/>
      <c r="B1256" s="34"/>
      <c r="C1256" s="34"/>
      <c r="D1256" s="212"/>
      <c r="E1256" s="34"/>
      <c r="F1256" s="213"/>
      <c r="G1256" s="213"/>
      <c r="H1256" s="34"/>
      <c r="I1256" s="214"/>
      <c r="J1256" s="214"/>
      <c r="K1256" s="34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</row>
    <row r="1257" ht="15.75" customHeight="1">
      <c r="A1257" s="34"/>
      <c r="B1257" s="34"/>
      <c r="C1257" s="34"/>
      <c r="D1257" s="212"/>
      <c r="E1257" s="34"/>
      <c r="F1257" s="213"/>
      <c r="G1257" s="213"/>
      <c r="H1257" s="34"/>
      <c r="I1257" s="214"/>
      <c r="J1257" s="214"/>
      <c r="K1257" s="34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</row>
    <row r="1258" ht="15.75" customHeight="1">
      <c r="A1258" s="34"/>
      <c r="B1258" s="34"/>
      <c r="C1258" s="34"/>
      <c r="D1258" s="212"/>
      <c r="E1258" s="34"/>
      <c r="F1258" s="213"/>
      <c r="G1258" s="213"/>
      <c r="H1258" s="34"/>
      <c r="I1258" s="214"/>
      <c r="J1258" s="214"/>
      <c r="K1258" s="34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</row>
    <row r="1259" ht="15.75" customHeight="1">
      <c r="A1259" s="34"/>
      <c r="B1259" s="34"/>
      <c r="C1259" s="34"/>
      <c r="D1259" s="212"/>
      <c r="E1259" s="34"/>
      <c r="F1259" s="213"/>
      <c r="G1259" s="213"/>
      <c r="H1259" s="34"/>
      <c r="I1259" s="214"/>
      <c r="J1259" s="214"/>
      <c r="K1259" s="34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</row>
    <row r="1260" ht="15.75" customHeight="1">
      <c r="A1260" s="34"/>
      <c r="B1260" s="34"/>
      <c r="C1260" s="34"/>
      <c r="D1260" s="212"/>
      <c r="E1260" s="34"/>
      <c r="F1260" s="213"/>
      <c r="G1260" s="213"/>
      <c r="H1260" s="34"/>
      <c r="I1260" s="214"/>
      <c r="J1260" s="214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</row>
    <row r="1261" ht="15.75" customHeight="1">
      <c r="A1261" s="34"/>
      <c r="B1261" s="34"/>
      <c r="C1261" s="34"/>
      <c r="D1261" s="212"/>
      <c r="E1261" s="34"/>
      <c r="F1261" s="213"/>
      <c r="G1261" s="213"/>
      <c r="H1261" s="34"/>
      <c r="I1261" s="214"/>
      <c r="J1261" s="214"/>
      <c r="K1261" s="34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</row>
    <row r="1262" ht="15.75" customHeight="1">
      <c r="A1262" s="34"/>
      <c r="B1262" s="34"/>
      <c r="C1262" s="34"/>
      <c r="D1262" s="212"/>
      <c r="E1262" s="34"/>
      <c r="F1262" s="213"/>
      <c r="G1262" s="213"/>
      <c r="H1262" s="34"/>
      <c r="I1262" s="214"/>
      <c r="J1262" s="214"/>
      <c r="K1262" s="34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</row>
    <row r="1263" ht="15.75" customHeight="1">
      <c r="A1263" s="34"/>
      <c r="B1263" s="34"/>
      <c r="C1263" s="34"/>
      <c r="D1263" s="212"/>
      <c r="E1263" s="34"/>
      <c r="F1263" s="213"/>
      <c r="G1263" s="213"/>
      <c r="H1263" s="34"/>
      <c r="I1263" s="214"/>
      <c r="J1263" s="214"/>
      <c r="K1263" s="34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</row>
    <row r="1264" ht="15.75" customHeight="1">
      <c r="A1264" s="34"/>
      <c r="B1264" s="34"/>
      <c r="C1264" s="34"/>
      <c r="D1264" s="212"/>
      <c r="E1264" s="34"/>
      <c r="F1264" s="213"/>
      <c r="G1264" s="213"/>
      <c r="H1264" s="34"/>
      <c r="I1264" s="214"/>
      <c r="J1264" s="214"/>
      <c r="K1264" s="34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</row>
    <row r="1265" ht="15.75" customHeight="1">
      <c r="A1265" s="34"/>
      <c r="B1265" s="34"/>
      <c r="C1265" s="34"/>
      <c r="D1265" s="212"/>
      <c r="E1265" s="34"/>
      <c r="F1265" s="213"/>
      <c r="G1265" s="213"/>
      <c r="H1265" s="34"/>
      <c r="I1265" s="214"/>
      <c r="J1265" s="21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</row>
    <row r="1266" ht="15.75" customHeight="1">
      <c r="A1266" s="34"/>
      <c r="B1266" s="34"/>
      <c r="C1266" s="34"/>
      <c r="D1266" s="212"/>
      <c r="E1266" s="34"/>
      <c r="F1266" s="213"/>
      <c r="G1266" s="213"/>
      <c r="H1266" s="34"/>
      <c r="I1266" s="214"/>
      <c r="J1266" s="214"/>
      <c r="K1266" s="34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</row>
    <row r="1267" ht="15.75" customHeight="1">
      <c r="A1267" s="34"/>
      <c r="B1267" s="34"/>
      <c r="C1267" s="34"/>
      <c r="D1267" s="212"/>
      <c r="E1267" s="34"/>
      <c r="F1267" s="213"/>
      <c r="G1267" s="213"/>
      <c r="H1267" s="34"/>
      <c r="I1267" s="214"/>
      <c r="J1267" s="214"/>
      <c r="K1267" s="34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</row>
    <row r="1268" ht="15.75" customHeight="1">
      <c r="A1268" s="34"/>
      <c r="B1268" s="34"/>
      <c r="C1268" s="34"/>
      <c r="D1268" s="212"/>
      <c r="E1268" s="34"/>
      <c r="F1268" s="213"/>
      <c r="G1268" s="213"/>
      <c r="H1268" s="34"/>
      <c r="I1268" s="214"/>
      <c r="J1268" s="214"/>
      <c r="K1268" s="34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</row>
    <row r="1269" ht="15.75" customHeight="1">
      <c r="A1269" s="34"/>
      <c r="B1269" s="34"/>
      <c r="C1269" s="34"/>
      <c r="D1269" s="212"/>
      <c r="E1269" s="34"/>
      <c r="F1269" s="213"/>
      <c r="G1269" s="213"/>
      <c r="H1269" s="34"/>
      <c r="I1269" s="214"/>
      <c r="J1269" s="214"/>
      <c r="K1269" s="34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</row>
    <row r="1270" ht="15.75" customHeight="1">
      <c r="A1270" s="34"/>
      <c r="B1270" s="34"/>
      <c r="C1270" s="34"/>
      <c r="D1270" s="212"/>
      <c r="E1270" s="34"/>
      <c r="F1270" s="213"/>
      <c r="G1270" s="213"/>
      <c r="H1270" s="34"/>
      <c r="I1270" s="214"/>
      <c r="J1270" s="214"/>
      <c r="K1270" s="34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</row>
    <row r="1271" ht="15.75" customHeight="1">
      <c r="A1271" s="34"/>
      <c r="B1271" s="34"/>
      <c r="C1271" s="34"/>
      <c r="D1271" s="212"/>
      <c r="E1271" s="34"/>
      <c r="F1271" s="213"/>
      <c r="G1271" s="213"/>
      <c r="H1271" s="34"/>
      <c r="I1271" s="214"/>
      <c r="J1271" s="214"/>
      <c r="K1271" s="34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  <c r="X1271" s="34"/>
      <c r="Y1271" s="34"/>
      <c r="Z1271" s="34"/>
    </row>
    <row r="1272" ht="15.75" customHeight="1">
      <c r="A1272" s="34"/>
      <c r="B1272" s="34"/>
      <c r="C1272" s="34"/>
      <c r="D1272" s="212"/>
      <c r="E1272" s="34"/>
      <c r="F1272" s="213"/>
      <c r="G1272" s="213"/>
      <c r="H1272" s="34"/>
      <c r="I1272" s="214"/>
      <c r="J1272" s="214"/>
      <c r="K1272" s="34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</row>
    <row r="1273" ht="15.75" customHeight="1">
      <c r="A1273" s="34"/>
      <c r="B1273" s="34"/>
      <c r="C1273" s="34"/>
      <c r="D1273" s="212"/>
      <c r="E1273" s="34"/>
      <c r="F1273" s="213"/>
      <c r="G1273" s="213"/>
      <c r="H1273" s="34"/>
      <c r="I1273" s="214"/>
      <c r="J1273" s="214"/>
      <c r="K1273" s="34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</row>
    <row r="1274" ht="15.75" customHeight="1">
      <c r="A1274" s="34"/>
      <c r="B1274" s="34"/>
      <c r="C1274" s="34"/>
      <c r="D1274" s="212"/>
      <c r="E1274" s="34"/>
      <c r="F1274" s="213"/>
      <c r="G1274" s="213"/>
      <c r="H1274" s="34"/>
      <c r="I1274" s="214"/>
      <c r="J1274" s="214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</row>
    <row r="1275" ht="15.75" customHeight="1">
      <c r="A1275" s="34"/>
      <c r="B1275" s="34"/>
      <c r="C1275" s="34"/>
      <c r="D1275" s="212"/>
      <c r="E1275" s="34"/>
      <c r="F1275" s="213"/>
      <c r="G1275" s="213"/>
      <c r="H1275" s="34"/>
      <c r="I1275" s="214"/>
      <c r="J1275" s="21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</row>
    <row r="1276" ht="15.75" customHeight="1">
      <c r="A1276" s="34"/>
      <c r="B1276" s="34"/>
      <c r="C1276" s="34"/>
      <c r="D1276" s="212"/>
      <c r="E1276" s="34"/>
      <c r="F1276" s="213"/>
      <c r="G1276" s="213"/>
      <c r="H1276" s="34"/>
      <c r="I1276" s="214"/>
      <c r="J1276" s="21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</row>
    <row r="1277" ht="15.75" customHeight="1">
      <c r="A1277" s="34"/>
      <c r="B1277" s="34"/>
      <c r="C1277" s="34"/>
      <c r="D1277" s="212"/>
      <c r="E1277" s="34"/>
      <c r="F1277" s="213"/>
      <c r="G1277" s="213"/>
      <c r="H1277" s="34"/>
      <c r="I1277" s="214"/>
      <c r="J1277" s="214"/>
      <c r="K1277" s="34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</row>
    <row r="1278" ht="15.75" customHeight="1">
      <c r="A1278" s="34"/>
      <c r="B1278" s="34"/>
      <c r="C1278" s="34"/>
      <c r="D1278" s="212"/>
      <c r="E1278" s="34"/>
      <c r="F1278" s="213"/>
      <c r="G1278" s="213"/>
      <c r="H1278" s="34"/>
      <c r="I1278" s="214"/>
      <c r="J1278" s="21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</row>
    <row r="1279" ht="15.75" customHeight="1">
      <c r="A1279" s="34"/>
      <c r="B1279" s="34"/>
      <c r="C1279" s="34"/>
      <c r="D1279" s="212"/>
      <c r="E1279" s="34"/>
      <c r="F1279" s="213"/>
      <c r="G1279" s="213"/>
      <c r="H1279" s="34"/>
      <c r="I1279" s="214"/>
      <c r="J1279" s="21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</row>
    <row r="1280" ht="15.75" customHeight="1">
      <c r="A1280" s="34"/>
      <c r="B1280" s="34"/>
      <c r="C1280" s="34"/>
      <c r="D1280" s="212"/>
      <c r="E1280" s="34"/>
      <c r="F1280" s="213"/>
      <c r="G1280" s="213"/>
      <c r="H1280" s="34"/>
      <c r="I1280" s="214"/>
      <c r="J1280" s="214"/>
      <c r="K1280" s="34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</row>
    <row r="1281" ht="15.75" customHeight="1">
      <c r="A1281" s="34"/>
      <c r="B1281" s="34"/>
      <c r="C1281" s="34"/>
      <c r="D1281" s="212"/>
      <c r="E1281" s="34"/>
      <c r="F1281" s="213"/>
      <c r="G1281" s="213"/>
      <c r="H1281" s="34"/>
      <c r="I1281" s="214"/>
      <c r="J1281" s="214"/>
      <c r="K1281" s="34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</row>
    <row r="1282" ht="15.75" customHeight="1">
      <c r="A1282" s="34"/>
      <c r="B1282" s="34"/>
      <c r="C1282" s="34"/>
      <c r="D1282" s="212"/>
      <c r="E1282" s="34"/>
      <c r="F1282" s="213"/>
      <c r="G1282" s="213"/>
      <c r="H1282" s="34"/>
      <c r="I1282" s="214"/>
      <c r="J1282" s="214"/>
      <c r="K1282" s="34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</row>
    <row r="1283" ht="15.75" customHeight="1">
      <c r="A1283" s="34"/>
      <c r="B1283" s="34"/>
      <c r="C1283" s="34"/>
      <c r="D1283" s="212"/>
      <c r="E1283" s="34"/>
      <c r="F1283" s="213"/>
      <c r="G1283" s="213"/>
      <c r="H1283" s="34"/>
      <c r="I1283" s="214"/>
      <c r="J1283" s="214"/>
      <c r="K1283" s="34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</row>
    <row r="1284" ht="15.75" customHeight="1">
      <c r="A1284" s="34"/>
      <c r="B1284" s="34"/>
      <c r="C1284" s="34"/>
      <c r="D1284" s="212"/>
      <c r="E1284" s="34"/>
      <c r="F1284" s="213"/>
      <c r="G1284" s="213"/>
      <c r="H1284" s="34"/>
      <c r="I1284" s="214"/>
      <c r="J1284" s="214"/>
      <c r="K1284" s="34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</row>
    <row r="1285" ht="15.75" customHeight="1">
      <c r="A1285" s="34"/>
      <c r="B1285" s="34"/>
      <c r="C1285" s="34"/>
      <c r="D1285" s="212"/>
      <c r="E1285" s="34"/>
      <c r="F1285" s="213"/>
      <c r="G1285" s="213"/>
      <c r="H1285" s="34"/>
      <c r="I1285" s="214"/>
      <c r="J1285" s="21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</row>
    <row r="1286" ht="15.75" customHeight="1">
      <c r="A1286" s="34"/>
      <c r="B1286" s="34"/>
      <c r="C1286" s="34"/>
      <c r="D1286" s="212"/>
      <c r="E1286" s="34"/>
      <c r="F1286" s="213"/>
      <c r="G1286" s="213"/>
      <c r="H1286" s="34"/>
      <c r="I1286" s="214"/>
      <c r="J1286" s="21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</row>
    <row r="1287" ht="15.75" customHeight="1">
      <c r="A1287" s="34"/>
      <c r="B1287" s="34"/>
      <c r="C1287" s="34"/>
      <c r="D1287" s="212"/>
      <c r="E1287" s="34"/>
      <c r="F1287" s="213"/>
      <c r="G1287" s="213"/>
      <c r="H1287" s="34"/>
      <c r="I1287" s="214"/>
      <c r="J1287" s="214"/>
      <c r="K1287" s="34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</row>
    <row r="1288" ht="15.75" customHeight="1">
      <c r="A1288" s="34"/>
      <c r="B1288" s="34"/>
      <c r="C1288" s="34"/>
      <c r="D1288" s="212"/>
      <c r="E1288" s="34"/>
      <c r="F1288" s="213"/>
      <c r="G1288" s="213"/>
      <c r="H1288" s="34"/>
      <c r="I1288" s="214"/>
      <c r="J1288" s="214"/>
      <c r="K1288" s="34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</row>
    <row r="1289" ht="15.75" customHeight="1">
      <c r="A1289" s="34"/>
      <c r="B1289" s="34"/>
      <c r="C1289" s="34"/>
      <c r="D1289" s="212"/>
      <c r="E1289" s="34"/>
      <c r="F1289" s="213"/>
      <c r="G1289" s="213"/>
      <c r="H1289" s="34"/>
      <c r="I1289" s="214"/>
      <c r="J1289" s="214"/>
      <c r="K1289" s="34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</row>
    <row r="1290" ht="15.75" customHeight="1">
      <c r="A1290" s="34"/>
      <c r="B1290" s="34"/>
      <c r="C1290" s="34"/>
      <c r="D1290" s="212"/>
      <c r="E1290" s="34"/>
      <c r="F1290" s="213"/>
      <c r="G1290" s="213"/>
      <c r="H1290" s="34"/>
      <c r="I1290" s="214"/>
      <c r="J1290" s="214"/>
      <c r="K1290" s="34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</row>
    <row r="1291" ht="15.75" customHeight="1">
      <c r="A1291" s="34"/>
      <c r="B1291" s="34"/>
      <c r="C1291" s="34"/>
      <c r="D1291" s="212"/>
      <c r="E1291" s="34"/>
      <c r="F1291" s="213"/>
      <c r="G1291" s="213"/>
      <c r="H1291" s="34"/>
      <c r="I1291" s="214"/>
      <c r="J1291" s="214"/>
      <c r="K1291" s="34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</row>
    <row r="1292" ht="15.75" customHeight="1">
      <c r="A1292" s="34"/>
      <c r="B1292" s="34"/>
      <c r="C1292" s="34"/>
      <c r="D1292" s="212"/>
      <c r="E1292" s="34"/>
      <c r="F1292" s="213"/>
      <c r="G1292" s="213"/>
      <c r="H1292" s="34"/>
      <c r="I1292" s="214"/>
      <c r="J1292" s="21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</row>
    <row r="1293" ht="15.75" customHeight="1">
      <c r="A1293" s="34"/>
      <c r="B1293" s="34"/>
      <c r="C1293" s="34"/>
      <c r="D1293" s="212"/>
      <c r="E1293" s="34"/>
      <c r="F1293" s="213"/>
      <c r="G1293" s="213"/>
      <c r="H1293" s="34"/>
      <c r="I1293" s="214"/>
      <c r="J1293" s="214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</row>
    <row r="1294" ht="15.75" customHeight="1">
      <c r="A1294" s="34"/>
      <c r="B1294" s="34"/>
      <c r="C1294" s="34"/>
      <c r="D1294" s="212"/>
      <c r="E1294" s="34"/>
      <c r="F1294" s="213"/>
      <c r="G1294" s="213"/>
      <c r="H1294" s="34"/>
      <c r="I1294" s="214"/>
      <c r="J1294" s="21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</row>
    <row r="1295" ht="15.75" customHeight="1">
      <c r="A1295" s="34"/>
      <c r="B1295" s="34"/>
      <c r="C1295" s="34"/>
      <c r="D1295" s="212"/>
      <c r="E1295" s="34"/>
      <c r="F1295" s="213"/>
      <c r="G1295" s="213"/>
      <c r="H1295" s="34"/>
      <c r="I1295" s="214"/>
      <c r="J1295" s="214"/>
      <c r="K1295" s="34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</row>
    <row r="1296" ht="15.75" customHeight="1">
      <c r="A1296" s="34"/>
      <c r="B1296" s="34"/>
      <c r="C1296" s="34"/>
      <c r="D1296" s="212"/>
      <c r="E1296" s="34"/>
      <c r="F1296" s="213"/>
      <c r="G1296" s="213"/>
      <c r="H1296" s="34"/>
      <c r="I1296" s="214"/>
      <c r="J1296" s="214"/>
      <c r="K1296" s="34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</row>
    <row r="1297" ht="15.75" customHeight="1">
      <c r="A1297" s="34"/>
      <c r="B1297" s="34"/>
      <c r="C1297" s="34"/>
      <c r="D1297" s="212"/>
      <c r="E1297" s="34"/>
      <c r="F1297" s="213"/>
      <c r="G1297" s="213"/>
      <c r="H1297" s="34"/>
      <c r="I1297" s="214"/>
      <c r="J1297" s="21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</row>
    <row r="1298" ht="15.75" customHeight="1">
      <c r="A1298" s="34"/>
      <c r="B1298" s="34"/>
      <c r="C1298" s="34"/>
      <c r="D1298" s="212"/>
      <c r="E1298" s="34"/>
      <c r="F1298" s="213"/>
      <c r="G1298" s="213"/>
      <c r="H1298" s="34"/>
      <c r="I1298" s="214"/>
      <c r="J1298" s="214"/>
      <c r="K1298" s="34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</row>
    <row r="1299" ht="15.75" customHeight="1">
      <c r="A1299" s="34"/>
      <c r="B1299" s="34"/>
      <c r="C1299" s="34"/>
      <c r="D1299" s="212"/>
      <c r="E1299" s="34"/>
      <c r="F1299" s="213"/>
      <c r="G1299" s="213"/>
      <c r="H1299" s="34"/>
      <c r="I1299" s="214"/>
      <c r="J1299" s="214"/>
      <c r="K1299" s="34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</row>
    <row r="1300" ht="15.75" customHeight="1">
      <c r="A1300" s="34"/>
      <c r="B1300" s="34"/>
      <c r="C1300" s="34"/>
      <c r="D1300" s="212"/>
      <c r="E1300" s="34"/>
      <c r="F1300" s="213"/>
      <c r="G1300" s="213"/>
      <c r="H1300" s="34"/>
      <c r="I1300" s="214"/>
      <c r="J1300" s="214"/>
      <c r="K1300" s="34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</row>
    <row r="1301" ht="15.75" customHeight="1">
      <c r="A1301" s="34"/>
      <c r="B1301" s="34"/>
      <c r="C1301" s="34"/>
      <c r="D1301" s="212"/>
      <c r="E1301" s="34"/>
      <c r="F1301" s="213"/>
      <c r="G1301" s="213"/>
      <c r="H1301" s="34"/>
      <c r="I1301" s="214"/>
      <c r="J1301" s="214"/>
      <c r="K1301" s="34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</row>
    <row r="1302" ht="15.75" customHeight="1">
      <c r="A1302" s="34"/>
      <c r="B1302" s="34"/>
      <c r="C1302" s="34"/>
      <c r="D1302" s="212"/>
      <c r="E1302" s="34"/>
      <c r="F1302" s="213"/>
      <c r="G1302" s="213"/>
      <c r="H1302" s="34"/>
      <c r="I1302" s="214"/>
      <c r="J1302" s="214"/>
      <c r="K1302" s="34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</row>
    <row r="1303" ht="15.75" customHeight="1">
      <c r="A1303" s="34"/>
      <c r="B1303" s="34"/>
      <c r="C1303" s="34"/>
      <c r="D1303" s="212"/>
      <c r="E1303" s="34"/>
      <c r="F1303" s="213"/>
      <c r="G1303" s="213"/>
      <c r="H1303" s="34"/>
      <c r="I1303" s="214"/>
      <c r="J1303" s="214"/>
      <c r="K1303" s="34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</row>
    <row r="1304" ht="15.75" customHeight="1">
      <c r="A1304" s="34"/>
      <c r="B1304" s="34"/>
      <c r="C1304" s="34"/>
      <c r="D1304" s="212"/>
      <c r="E1304" s="34"/>
      <c r="F1304" s="213"/>
      <c r="G1304" s="213"/>
      <c r="H1304" s="34"/>
      <c r="I1304" s="214"/>
      <c r="J1304" s="21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</row>
    <row r="1305" ht="15.75" customHeight="1">
      <c r="A1305" s="34"/>
      <c r="B1305" s="34"/>
      <c r="C1305" s="34"/>
      <c r="D1305" s="212"/>
      <c r="E1305" s="34"/>
      <c r="F1305" s="213"/>
      <c r="G1305" s="213"/>
      <c r="H1305" s="34"/>
      <c r="I1305" s="214"/>
      <c r="J1305" s="214"/>
      <c r="K1305" s="34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</row>
    <row r="1306" ht="15.75" customHeight="1">
      <c r="A1306" s="34"/>
      <c r="B1306" s="34"/>
      <c r="C1306" s="34"/>
      <c r="D1306" s="212"/>
      <c r="E1306" s="34"/>
      <c r="F1306" s="213"/>
      <c r="G1306" s="213"/>
      <c r="H1306" s="34"/>
      <c r="I1306" s="214"/>
      <c r="J1306" s="214"/>
      <c r="K1306" s="34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</row>
    <row r="1307" ht="15.75" customHeight="1">
      <c r="A1307" s="34"/>
      <c r="B1307" s="34"/>
      <c r="C1307" s="34"/>
      <c r="D1307" s="212"/>
      <c r="E1307" s="34"/>
      <c r="F1307" s="213"/>
      <c r="G1307" s="213"/>
      <c r="H1307" s="34"/>
      <c r="I1307" s="214"/>
      <c r="J1307" s="214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</row>
    <row r="1308" ht="15.75" customHeight="1">
      <c r="A1308" s="34"/>
      <c r="B1308" s="34"/>
      <c r="C1308" s="34"/>
      <c r="D1308" s="212"/>
      <c r="E1308" s="34"/>
      <c r="F1308" s="213"/>
      <c r="G1308" s="213"/>
      <c r="H1308" s="34"/>
      <c r="I1308" s="214"/>
      <c r="J1308" s="214"/>
      <c r="K1308" s="34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  <c r="X1308" s="34"/>
      <c r="Y1308" s="34"/>
      <c r="Z1308" s="34"/>
    </row>
    <row r="1309" ht="15.75" customHeight="1">
      <c r="A1309" s="34"/>
      <c r="B1309" s="34"/>
      <c r="C1309" s="34"/>
      <c r="D1309" s="212"/>
      <c r="E1309" s="34"/>
      <c r="F1309" s="213"/>
      <c r="G1309" s="213"/>
      <c r="H1309" s="34"/>
      <c r="I1309" s="214"/>
      <c r="J1309" s="21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</row>
    <row r="1310" ht="15.75" customHeight="1">
      <c r="A1310" s="34"/>
      <c r="B1310" s="34"/>
      <c r="C1310" s="34"/>
      <c r="D1310" s="212"/>
      <c r="E1310" s="34"/>
      <c r="F1310" s="213"/>
      <c r="G1310" s="213"/>
      <c r="H1310" s="34"/>
      <c r="I1310" s="214"/>
      <c r="J1310" s="214"/>
      <c r="K1310" s="34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</row>
    <row r="1311" ht="15.75" customHeight="1">
      <c r="A1311" s="34"/>
      <c r="B1311" s="34"/>
      <c r="C1311" s="34"/>
      <c r="D1311" s="212"/>
      <c r="E1311" s="34"/>
      <c r="F1311" s="213"/>
      <c r="G1311" s="213"/>
      <c r="H1311" s="34"/>
      <c r="I1311" s="214"/>
      <c r="J1311" s="214"/>
      <c r="K1311" s="34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</row>
    <row r="1312" ht="15.75" customHeight="1">
      <c r="A1312" s="34"/>
      <c r="B1312" s="34"/>
      <c r="C1312" s="34"/>
      <c r="D1312" s="212"/>
      <c r="E1312" s="34"/>
      <c r="F1312" s="213"/>
      <c r="G1312" s="213"/>
      <c r="H1312" s="34"/>
      <c r="I1312" s="214"/>
      <c r="J1312" s="214"/>
      <c r="K1312" s="34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</row>
    <row r="1313" ht="15.75" customHeight="1">
      <c r="A1313" s="34"/>
      <c r="B1313" s="34"/>
      <c r="C1313" s="34"/>
      <c r="D1313" s="212"/>
      <c r="E1313" s="34"/>
      <c r="F1313" s="213"/>
      <c r="G1313" s="213"/>
      <c r="H1313" s="34"/>
      <c r="I1313" s="214"/>
      <c r="J1313" s="214"/>
      <c r="K1313" s="34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</row>
    <row r="1314" ht="15.75" customHeight="1">
      <c r="A1314" s="34"/>
      <c r="B1314" s="34"/>
      <c r="C1314" s="34"/>
      <c r="D1314" s="212"/>
      <c r="E1314" s="34"/>
      <c r="F1314" s="213"/>
      <c r="G1314" s="213"/>
      <c r="H1314" s="34"/>
      <c r="I1314" s="214"/>
      <c r="J1314" s="214"/>
      <c r="K1314" s="34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  <c r="X1314" s="34"/>
      <c r="Y1314" s="34"/>
      <c r="Z1314" s="34"/>
    </row>
    <row r="1315" ht="15.75" customHeight="1">
      <c r="A1315" s="34"/>
      <c r="B1315" s="34"/>
      <c r="C1315" s="34"/>
      <c r="D1315" s="212"/>
      <c r="E1315" s="34"/>
      <c r="F1315" s="213"/>
      <c r="G1315" s="213"/>
      <c r="H1315" s="34"/>
      <c r="I1315" s="214"/>
      <c r="J1315" s="214"/>
      <c r="K1315" s="34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</row>
    <row r="1316" ht="15.75" customHeight="1">
      <c r="A1316" s="34"/>
      <c r="B1316" s="34"/>
      <c r="C1316" s="34"/>
      <c r="D1316" s="212"/>
      <c r="E1316" s="34"/>
      <c r="F1316" s="213"/>
      <c r="G1316" s="213"/>
      <c r="H1316" s="34"/>
      <c r="I1316" s="214"/>
      <c r="J1316" s="214"/>
      <c r="K1316" s="34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</row>
    <row r="1317" ht="15.75" customHeight="1">
      <c r="A1317" s="34"/>
      <c r="B1317" s="34"/>
      <c r="C1317" s="34"/>
      <c r="D1317" s="212"/>
      <c r="E1317" s="34"/>
      <c r="F1317" s="213"/>
      <c r="G1317" s="213"/>
      <c r="H1317" s="34"/>
      <c r="I1317" s="214"/>
      <c r="J1317" s="214"/>
      <c r="K1317" s="34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</row>
    <row r="1318" ht="15.75" customHeight="1">
      <c r="A1318" s="34"/>
      <c r="B1318" s="34"/>
      <c r="C1318" s="34"/>
      <c r="D1318" s="212"/>
      <c r="E1318" s="34"/>
      <c r="F1318" s="213"/>
      <c r="G1318" s="213"/>
      <c r="H1318" s="34"/>
      <c r="I1318" s="214"/>
      <c r="J1318" s="214"/>
      <c r="K1318" s="34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  <c r="X1318" s="34"/>
      <c r="Y1318" s="34"/>
      <c r="Z1318" s="34"/>
    </row>
    <row r="1319" ht="15.75" customHeight="1">
      <c r="A1319" s="34"/>
      <c r="B1319" s="34"/>
      <c r="C1319" s="34"/>
      <c r="D1319" s="212"/>
      <c r="E1319" s="34"/>
      <c r="F1319" s="213"/>
      <c r="G1319" s="213"/>
      <c r="H1319" s="34"/>
      <c r="I1319" s="214"/>
      <c r="J1319" s="214"/>
      <c r="K1319" s="34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</row>
    <row r="1320" ht="15.75" customHeight="1">
      <c r="A1320" s="34"/>
      <c r="B1320" s="34"/>
      <c r="C1320" s="34"/>
      <c r="D1320" s="212"/>
      <c r="E1320" s="34"/>
      <c r="F1320" s="213"/>
      <c r="G1320" s="213"/>
      <c r="H1320" s="34"/>
      <c r="I1320" s="214"/>
      <c r="J1320" s="21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</row>
    <row r="1321" ht="15.75" customHeight="1">
      <c r="A1321" s="34"/>
      <c r="B1321" s="34"/>
      <c r="C1321" s="34"/>
      <c r="D1321" s="212"/>
      <c r="E1321" s="34"/>
      <c r="F1321" s="213"/>
      <c r="G1321" s="213"/>
      <c r="H1321" s="34"/>
      <c r="I1321" s="214"/>
      <c r="J1321" s="214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</row>
    <row r="1322" ht="15.75" customHeight="1">
      <c r="A1322" s="34"/>
      <c r="B1322" s="34"/>
      <c r="C1322" s="34"/>
      <c r="D1322" s="212"/>
      <c r="E1322" s="34"/>
      <c r="F1322" s="213"/>
      <c r="G1322" s="213"/>
      <c r="H1322" s="34"/>
      <c r="I1322" s="214"/>
      <c r="J1322" s="21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</row>
    <row r="1323" ht="15.75" customHeight="1">
      <c r="A1323" s="34"/>
      <c r="B1323" s="34"/>
      <c r="C1323" s="34"/>
      <c r="D1323" s="212"/>
      <c r="E1323" s="34"/>
      <c r="F1323" s="213"/>
      <c r="G1323" s="213"/>
      <c r="H1323" s="34"/>
      <c r="I1323" s="214"/>
      <c r="J1323" s="214"/>
      <c r="K1323" s="34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</row>
    <row r="1324" ht="15.75" customHeight="1">
      <c r="A1324" s="34"/>
      <c r="B1324" s="34"/>
      <c r="C1324" s="34"/>
      <c r="D1324" s="212"/>
      <c r="E1324" s="34"/>
      <c r="F1324" s="213"/>
      <c r="G1324" s="213"/>
      <c r="H1324" s="34"/>
      <c r="I1324" s="214"/>
      <c r="J1324" s="214"/>
      <c r="K1324" s="34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</row>
    <row r="1325" ht="15.75" customHeight="1">
      <c r="A1325" s="34"/>
      <c r="B1325" s="34"/>
      <c r="C1325" s="34"/>
      <c r="D1325" s="212"/>
      <c r="E1325" s="34"/>
      <c r="F1325" s="213"/>
      <c r="G1325" s="213"/>
      <c r="H1325" s="34"/>
      <c r="I1325" s="214"/>
      <c r="J1325" s="21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</row>
    <row r="1326" ht="15.75" customHeight="1">
      <c r="A1326" s="34"/>
      <c r="B1326" s="34"/>
      <c r="C1326" s="34"/>
      <c r="D1326" s="212"/>
      <c r="E1326" s="34"/>
      <c r="F1326" s="213"/>
      <c r="G1326" s="213"/>
      <c r="H1326" s="34"/>
      <c r="I1326" s="214"/>
      <c r="J1326" s="21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</row>
    <row r="1327" ht="15.75" customHeight="1">
      <c r="A1327" s="34"/>
      <c r="B1327" s="34"/>
      <c r="C1327" s="34"/>
      <c r="D1327" s="212"/>
      <c r="E1327" s="34"/>
      <c r="F1327" s="213"/>
      <c r="G1327" s="213"/>
      <c r="H1327" s="34"/>
      <c r="I1327" s="214"/>
      <c r="J1327" s="214"/>
      <c r="K1327" s="34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  <c r="X1327" s="34"/>
      <c r="Y1327" s="34"/>
      <c r="Z1327" s="34"/>
    </row>
    <row r="1328" ht="15.75" customHeight="1">
      <c r="A1328" s="34"/>
      <c r="B1328" s="34"/>
      <c r="C1328" s="34"/>
      <c r="D1328" s="212"/>
      <c r="E1328" s="34"/>
      <c r="F1328" s="213"/>
      <c r="G1328" s="213"/>
      <c r="H1328" s="34"/>
      <c r="I1328" s="214"/>
      <c r="J1328" s="214"/>
      <c r="K1328" s="34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</row>
    <row r="1329" ht="15.75" customHeight="1">
      <c r="A1329" s="34"/>
      <c r="B1329" s="34"/>
      <c r="C1329" s="34"/>
      <c r="D1329" s="212"/>
      <c r="E1329" s="34"/>
      <c r="F1329" s="213"/>
      <c r="G1329" s="213"/>
      <c r="H1329" s="34"/>
      <c r="I1329" s="214"/>
      <c r="J1329" s="214"/>
      <c r="K1329" s="34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</row>
    <row r="1330" ht="15.75" customHeight="1">
      <c r="A1330" s="34"/>
      <c r="B1330" s="34"/>
      <c r="C1330" s="34"/>
      <c r="D1330" s="212"/>
      <c r="E1330" s="34"/>
      <c r="F1330" s="213"/>
      <c r="G1330" s="213"/>
      <c r="H1330" s="34"/>
      <c r="I1330" s="214"/>
      <c r="J1330" s="214"/>
      <c r="K1330" s="34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</row>
    <row r="1331" ht="15.75" customHeight="1">
      <c r="A1331" s="34"/>
      <c r="B1331" s="34"/>
      <c r="C1331" s="34"/>
      <c r="D1331" s="212"/>
      <c r="E1331" s="34"/>
      <c r="F1331" s="213"/>
      <c r="G1331" s="213"/>
      <c r="H1331" s="34"/>
      <c r="I1331" s="214"/>
      <c r="J1331" s="214"/>
      <c r="K1331" s="34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</row>
    <row r="1332" ht="15.75" customHeight="1">
      <c r="A1332" s="34"/>
      <c r="B1332" s="34"/>
      <c r="C1332" s="34"/>
      <c r="D1332" s="212"/>
      <c r="E1332" s="34"/>
      <c r="F1332" s="213"/>
      <c r="G1332" s="213"/>
      <c r="H1332" s="34"/>
      <c r="I1332" s="214"/>
      <c r="J1332" s="214"/>
      <c r="K1332" s="34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</row>
    <row r="1333" ht="15.75" customHeight="1">
      <c r="A1333" s="34"/>
      <c r="B1333" s="34"/>
      <c r="C1333" s="34"/>
      <c r="D1333" s="212"/>
      <c r="E1333" s="34"/>
      <c r="F1333" s="213"/>
      <c r="G1333" s="213"/>
      <c r="H1333" s="34"/>
      <c r="I1333" s="214"/>
      <c r="J1333" s="21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</row>
    <row r="1334" ht="15.75" customHeight="1">
      <c r="A1334" s="34"/>
      <c r="B1334" s="34"/>
      <c r="C1334" s="34"/>
      <c r="D1334" s="212"/>
      <c r="E1334" s="34"/>
      <c r="F1334" s="213"/>
      <c r="G1334" s="213"/>
      <c r="H1334" s="34"/>
      <c r="I1334" s="214"/>
      <c r="J1334" s="214"/>
      <c r="K1334" s="34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</row>
    <row r="1335" ht="15.75" customHeight="1">
      <c r="A1335" s="34"/>
      <c r="B1335" s="34"/>
      <c r="C1335" s="34"/>
      <c r="D1335" s="212"/>
      <c r="E1335" s="34"/>
      <c r="F1335" s="213"/>
      <c r="G1335" s="213"/>
      <c r="H1335" s="34"/>
      <c r="I1335" s="214"/>
      <c r="J1335" s="214"/>
      <c r="K1335" s="34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</row>
    <row r="1336" ht="15.75" customHeight="1">
      <c r="A1336" s="34"/>
      <c r="B1336" s="34"/>
      <c r="C1336" s="34"/>
      <c r="D1336" s="212"/>
      <c r="E1336" s="34"/>
      <c r="F1336" s="213"/>
      <c r="G1336" s="213"/>
      <c r="H1336" s="34"/>
      <c r="I1336" s="214"/>
      <c r="J1336" s="214"/>
      <c r="K1336" s="34"/>
      <c r="L1336" s="34"/>
      <c r="M1336" s="34"/>
      <c r="N1336" s="34"/>
      <c r="O1336" s="34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</row>
    <row r="1337" ht="15.75" customHeight="1">
      <c r="A1337" s="34"/>
      <c r="B1337" s="34"/>
      <c r="C1337" s="34"/>
      <c r="D1337" s="212"/>
      <c r="E1337" s="34"/>
      <c r="F1337" s="213"/>
      <c r="G1337" s="213"/>
      <c r="H1337" s="34"/>
      <c r="I1337" s="214"/>
      <c r="J1337" s="214"/>
      <c r="K1337" s="34"/>
      <c r="L1337" s="34"/>
      <c r="M1337" s="34"/>
      <c r="N1337" s="34"/>
      <c r="O1337" s="34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</row>
    <row r="1338" ht="15.75" customHeight="1">
      <c r="A1338" s="34"/>
      <c r="B1338" s="34"/>
      <c r="C1338" s="34"/>
      <c r="D1338" s="212"/>
      <c r="E1338" s="34"/>
      <c r="F1338" s="213"/>
      <c r="G1338" s="213"/>
      <c r="H1338" s="34"/>
      <c r="I1338" s="214"/>
      <c r="J1338" s="214"/>
      <c r="K1338" s="34"/>
      <c r="L1338" s="34"/>
      <c r="M1338" s="34"/>
      <c r="N1338" s="34"/>
      <c r="O1338" s="34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</row>
    <row r="1339" ht="15.75" customHeight="1">
      <c r="A1339" s="34"/>
      <c r="B1339" s="34"/>
      <c r="C1339" s="34"/>
      <c r="D1339" s="212"/>
      <c r="E1339" s="34"/>
      <c r="F1339" s="213"/>
      <c r="G1339" s="213"/>
      <c r="H1339" s="34"/>
      <c r="I1339" s="214"/>
      <c r="J1339" s="21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</row>
    <row r="1340" ht="15.75" customHeight="1">
      <c r="A1340" s="34"/>
      <c r="B1340" s="34"/>
      <c r="C1340" s="34"/>
      <c r="D1340" s="212"/>
      <c r="E1340" s="34"/>
      <c r="F1340" s="213"/>
      <c r="G1340" s="213"/>
      <c r="H1340" s="34"/>
      <c r="I1340" s="214"/>
      <c r="J1340" s="214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</row>
    <row r="1341" ht="15.75" customHeight="1">
      <c r="A1341" s="34"/>
      <c r="B1341" s="34"/>
      <c r="C1341" s="34"/>
      <c r="D1341" s="212"/>
      <c r="E1341" s="34"/>
      <c r="F1341" s="213"/>
      <c r="G1341" s="213"/>
      <c r="H1341" s="34"/>
      <c r="I1341" s="214"/>
      <c r="J1341" s="214"/>
      <c r="K1341" s="34"/>
      <c r="L1341" s="34"/>
      <c r="M1341" s="34"/>
      <c r="N1341" s="34"/>
      <c r="O1341" s="34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</row>
    <row r="1342" ht="15.75" customHeight="1">
      <c r="A1342" s="34"/>
      <c r="B1342" s="34"/>
      <c r="C1342" s="34"/>
      <c r="D1342" s="212"/>
      <c r="E1342" s="34"/>
      <c r="F1342" s="213"/>
      <c r="G1342" s="213"/>
      <c r="H1342" s="34"/>
      <c r="I1342" s="214"/>
      <c r="J1342" s="214"/>
      <c r="K1342" s="34"/>
      <c r="L1342" s="34"/>
      <c r="M1342" s="34"/>
      <c r="N1342" s="34"/>
      <c r="O1342" s="34"/>
      <c r="P1342" s="34"/>
      <c r="Q1342" s="34"/>
      <c r="R1342" s="34"/>
      <c r="S1342" s="34"/>
      <c r="T1342" s="34"/>
      <c r="U1342" s="34"/>
      <c r="V1342" s="34"/>
      <c r="W1342" s="34"/>
      <c r="X1342" s="34"/>
      <c r="Y1342" s="34"/>
      <c r="Z1342" s="34"/>
    </row>
    <row r="1343" ht="15.75" customHeight="1">
      <c r="A1343" s="34"/>
      <c r="B1343" s="34"/>
      <c r="C1343" s="34"/>
      <c r="D1343" s="212"/>
      <c r="E1343" s="34"/>
      <c r="F1343" s="213"/>
      <c r="G1343" s="213"/>
      <c r="H1343" s="34"/>
      <c r="I1343" s="214"/>
      <c r="J1343" s="214"/>
      <c r="K1343" s="34"/>
      <c r="L1343" s="34"/>
      <c r="M1343" s="34"/>
      <c r="N1343" s="34"/>
      <c r="O1343" s="34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</row>
    <row r="1344" ht="15.75" customHeight="1">
      <c r="A1344" s="34"/>
      <c r="B1344" s="34"/>
      <c r="C1344" s="34"/>
      <c r="D1344" s="212"/>
      <c r="E1344" s="34"/>
      <c r="F1344" s="213"/>
      <c r="G1344" s="213"/>
      <c r="H1344" s="34"/>
      <c r="I1344" s="214"/>
      <c r="J1344" s="21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</row>
    <row r="1345" ht="15.75" customHeight="1">
      <c r="A1345" s="34"/>
      <c r="B1345" s="34"/>
      <c r="C1345" s="34"/>
      <c r="D1345" s="212"/>
      <c r="E1345" s="34"/>
      <c r="F1345" s="213"/>
      <c r="G1345" s="213"/>
      <c r="H1345" s="34"/>
      <c r="I1345" s="214"/>
      <c r="J1345" s="214"/>
      <c r="K1345" s="34"/>
      <c r="L1345" s="34"/>
      <c r="M1345" s="34"/>
      <c r="N1345" s="34"/>
      <c r="O1345" s="34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</row>
    <row r="1346" ht="15.75" customHeight="1">
      <c r="A1346" s="34"/>
      <c r="B1346" s="34"/>
      <c r="C1346" s="34"/>
      <c r="D1346" s="212"/>
      <c r="E1346" s="34"/>
      <c r="F1346" s="213"/>
      <c r="G1346" s="213"/>
      <c r="H1346" s="34"/>
      <c r="I1346" s="214"/>
      <c r="J1346" s="214"/>
      <c r="K1346" s="34"/>
      <c r="L1346" s="34"/>
      <c r="M1346" s="34"/>
      <c r="N1346" s="34"/>
      <c r="O1346" s="34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</row>
    <row r="1347" ht="15.75" customHeight="1">
      <c r="A1347" s="34"/>
      <c r="B1347" s="34"/>
      <c r="C1347" s="34"/>
      <c r="D1347" s="212"/>
      <c r="E1347" s="34"/>
      <c r="F1347" s="213"/>
      <c r="G1347" s="213"/>
      <c r="H1347" s="34"/>
      <c r="I1347" s="214"/>
      <c r="J1347" s="214"/>
      <c r="K1347" s="34"/>
      <c r="L1347" s="34"/>
      <c r="M1347" s="34"/>
      <c r="N1347" s="34"/>
      <c r="O1347" s="34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</row>
    <row r="1348" ht="15.75" customHeight="1">
      <c r="A1348" s="34"/>
      <c r="B1348" s="34"/>
      <c r="C1348" s="34"/>
      <c r="D1348" s="212"/>
      <c r="E1348" s="34"/>
      <c r="F1348" s="213"/>
      <c r="G1348" s="213"/>
      <c r="H1348" s="34"/>
      <c r="I1348" s="214"/>
      <c r="J1348" s="21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4"/>
      <c r="X1348" s="34"/>
      <c r="Y1348" s="34"/>
      <c r="Z1348" s="34"/>
    </row>
    <row r="1349" ht="15.75" customHeight="1">
      <c r="A1349" s="34"/>
      <c r="B1349" s="34"/>
      <c r="C1349" s="34"/>
      <c r="D1349" s="212"/>
      <c r="E1349" s="34"/>
      <c r="F1349" s="213"/>
      <c r="G1349" s="213"/>
      <c r="H1349" s="34"/>
      <c r="I1349" s="214"/>
      <c r="J1349" s="214"/>
      <c r="K1349" s="34"/>
      <c r="L1349" s="34"/>
      <c r="M1349" s="34"/>
      <c r="N1349" s="34"/>
      <c r="O1349" s="34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</row>
    <row r="1350" ht="15.75" customHeight="1">
      <c r="A1350" s="34"/>
      <c r="B1350" s="34"/>
      <c r="C1350" s="34"/>
      <c r="D1350" s="212"/>
      <c r="E1350" s="34"/>
      <c r="F1350" s="213"/>
      <c r="G1350" s="213"/>
      <c r="H1350" s="34"/>
      <c r="I1350" s="214"/>
      <c r="J1350" s="214"/>
      <c r="K1350" s="34"/>
      <c r="L1350" s="34"/>
      <c r="M1350" s="34"/>
      <c r="N1350" s="34"/>
      <c r="O1350" s="34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</row>
    <row r="1351" ht="15.75" customHeight="1">
      <c r="A1351" s="34"/>
      <c r="B1351" s="34"/>
      <c r="C1351" s="34"/>
      <c r="D1351" s="212"/>
      <c r="E1351" s="34"/>
      <c r="F1351" s="213"/>
      <c r="G1351" s="213"/>
      <c r="H1351" s="34"/>
      <c r="I1351" s="214"/>
      <c r="J1351" s="214"/>
      <c r="K1351" s="34"/>
      <c r="L1351" s="34"/>
      <c r="M1351" s="34"/>
      <c r="N1351" s="34"/>
      <c r="O1351" s="34"/>
      <c r="P1351" s="34"/>
      <c r="Q1351" s="34"/>
      <c r="R1351" s="34"/>
      <c r="S1351" s="34"/>
      <c r="T1351" s="34"/>
      <c r="U1351" s="34"/>
      <c r="V1351" s="34"/>
      <c r="W1351" s="34"/>
      <c r="X1351" s="34"/>
      <c r="Y1351" s="34"/>
      <c r="Z1351" s="34"/>
    </row>
    <row r="1352" ht="15.75" customHeight="1">
      <c r="A1352" s="34"/>
      <c r="B1352" s="34"/>
      <c r="C1352" s="34"/>
      <c r="D1352" s="212"/>
      <c r="E1352" s="34"/>
      <c r="F1352" s="213"/>
      <c r="G1352" s="213"/>
      <c r="H1352" s="34"/>
      <c r="I1352" s="214"/>
      <c r="J1352" s="214"/>
      <c r="K1352" s="34"/>
      <c r="L1352" s="34"/>
      <c r="M1352" s="34"/>
      <c r="N1352" s="34"/>
      <c r="O1352" s="34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</row>
    <row r="1353" ht="15.75" customHeight="1">
      <c r="A1353" s="34"/>
      <c r="B1353" s="34"/>
      <c r="C1353" s="34"/>
      <c r="D1353" s="212"/>
      <c r="E1353" s="34"/>
      <c r="F1353" s="213"/>
      <c r="G1353" s="213"/>
      <c r="H1353" s="34"/>
      <c r="I1353" s="214"/>
      <c r="J1353" s="214"/>
      <c r="K1353" s="34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</row>
    <row r="1354" ht="15.75" customHeight="1">
      <c r="A1354" s="34"/>
      <c r="B1354" s="34"/>
      <c r="C1354" s="34"/>
      <c r="D1354" s="212"/>
      <c r="E1354" s="34"/>
      <c r="F1354" s="213"/>
      <c r="G1354" s="213"/>
      <c r="H1354" s="34"/>
      <c r="I1354" s="214"/>
      <c r="J1354" s="214"/>
      <c r="K1354" s="34"/>
      <c r="L1354" s="34"/>
      <c r="M1354" s="34"/>
      <c r="N1354" s="34"/>
      <c r="O1354" s="34"/>
      <c r="P1354" s="34"/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</row>
    <row r="1355" ht="15.75" customHeight="1">
      <c r="A1355" s="34"/>
      <c r="B1355" s="34"/>
      <c r="C1355" s="34"/>
      <c r="D1355" s="212"/>
      <c r="E1355" s="34"/>
      <c r="F1355" s="213"/>
      <c r="G1355" s="213"/>
      <c r="H1355" s="34"/>
      <c r="I1355" s="214"/>
      <c r="J1355" s="214"/>
      <c r="K1355" s="34"/>
      <c r="L1355" s="34"/>
      <c r="M1355" s="34"/>
      <c r="N1355" s="34"/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</row>
    <row r="1356" ht="15.75" customHeight="1">
      <c r="A1356" s="34"/>
      <c r="B1356" s="34"/>
      <c r="C1356" s="34"/>
      <c r="D1356" s="212"/>
      <c r="E1356" s="34"/>
      <c r="F1356" s="213"/>
      <c r="G1356" s="213"/>
      <c r="H1356" s="34"/>
      <c r="I1356" s="214"/>
      <c r="J1356" s="214"/>
      <c r="K1356" s="34"/>
      <c r="L1356" s="34"/>
      <c r="M1356" s="34"/>
      <c r="N1356" s="34"/>
      <c r="O1356" s="34"/>
      <c r="P1356" s="34"/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</row>
    <row r="1357" ht="15.75" customHeight="1">
      <c r="A1357" s="34"/>
      <c r="B1357" s="34"/>
      <c r="C1357" s="34"/>
      <c r="D1357" s="212"/>
      <c r="E1357" s="34"/>
      <c r="F1357" s="213"/>
      <c r="G1357" s="213"/>
      <c r="H1357" s="34"/>
      <c r="I1357" s="214"/>
      <c r="J1357" s="214"/>
      <c r="K1357" s="34"/>
      <c r="L1357" s="34"/>
      <c r="M1357" s="34"/>
      <c r="N1357" s="34"/>
      <c r="O1357" s="34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</row>
    <row r="1358" ht="15.75" customHeight="1">
      <c r="A1358" s="34"/>
      <c r="B1358" s="34"/>
      <c r="C1358" s="34"/>
      <c r="D1358" s="212"/>
      <c r="E1358" s="34"/>
      <c r="F1358" s="213"/>
      <c r="G1358" s="213"/>
      <c r="H1358" s="34"/>
      <c r="I1358" s="214"/>
      <c r="J1358" s="214"/>
      <c r="K1358" s="34"/>
      <c r="L1358" s="34"/>
      <c r="M1358" s="34"/>
      <c r="N1358" s="34"/>
      <c r="O1358" s="34"/>
      <c r="P1358" s="34"/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</row>
    <row r="1359" ht="15.75" customHeight="1">
      <c r="A1359" s="34"/>
      <c r="B1359" s="34"/>
      <c r="C1359" s="34"/>
      <c r="D1359" s="212"/>
      <c r="E1359" s="34"/>
      <c r="F1359" s="213"/>
      <c r="G1359" s="213"/>
      <c r="H1359" s="34"/>
      <c r="I1359" s="214"/>
      <c r="J1359" s="214"/>
      <c r="K1359" s="34"/>
      <c r="L1359" s="34"/>
      <c r="M1359" s="34"/>
      <c r="N1359" s="34"/>
      <c r="O1359" s="34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</row>
    <row r="1360" ht="15.75" customHeight="1">
      <c r="A1360" s="34"/>
      <c r="B1360" s="34"/>
      <c r="C1360" s="34"/>
      <c r="D1360" s="212"/>
      <c r="E1360" s="34"/>
      <c r="F1360" s="213"/>
      <c r="G1360" s="213"/>
      <c r="H1360" s="34"/>
      <c r="I1360" s="214"/>
      <c r="J1360" s="214"/>
      <c r="K1360" s="34"/>
      <c r="L1360" s="34"/>
      <c r="M1360" s="34"/>
      <c r="N1360" s="34"/>
      <c r="O1360" s="34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</row>
    <row r="1361" ht="15.75" customHeight="1">
      <c r="A1361" s="34"/>
      <c r="B1361" s="34"/>
      <c r="C1361" s="34"/>
      <c r="D1361" s="212"/>
      <c r="E1361" s="34"/>
      <c r="F1361" s="213"/>
      <c r="G1361" s="213"/>
      <c r="H1361" s="34"/>
      <c r="I1361" s="214"/>
      <c r="J1361" s="214"/>
      <c r="K1361" s="34"/>
      <c r="L1361" s="34"/>
      <c r="M1361" s="34"/>
      <c r="N1361" s="34"/>
      <c r="O1361" s="34"/>
      <c r="P1361" s="34"/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</row>
    <row r="1362" ht="15.75" customHeight="1">
      <c r="A1362" s="34"/>
      <c r="B1362" s="34"/>
      <c r="C1362" s="34"/>
      <c r="D1362" s="212"/>
      <c r="E1362" s="34"/>
      <c r="F1362" s="213"/>
      <c r="G1362" s="213"/>
      <c r="H1362" s="34"/>
      <c r="I1362" s="214"/>
      <c r="J1362" s="214"/>
      <c r="K1362" s="34"/>
      <c r="L1362" s="34"/>
      <c r="M1362" s="34"/>
      <c r="N1362" s="34"/>
      <c r="O1362" s="34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</row>
    <row r="1363" ht="15.75" customHeight="1">
      <c r="A1363" s="34"/>
      <c r="B1363" s="34"/>
      <c r="C1363" s="34"/>
      <c r="D1363" s="212"/>
      <c r="E1363" s="34"/>
      <c r="F1363" s="213"/>
      <c r="G1363" s="213"/>
      <c r="H1363" s="34"/>
      <c r="I1363" s="214"/>
      <c r="J1363" s="214"/>
      <c r="K1363" s="34"/>
      <c r="L1363" s="34"/>
      <c r="M1363" s="34"/>
      <c r="N1363" s="34"/>
      <c r="O1363" s="34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</row>
    <row r="1364" ht="15.75" customHeight="1">
      <c r="A1364" s="34"/>
      <c r="B1364" s="34"/>
      <c r="C1364" s="34"/>
      <c r="D1364" s="212"/>
      <c r="E1364" s="34"/>
      <c r="F1364" s="213"/>
      <c r="G1364" s="213"/>
      <c r="H1364" s="34"/>
      <c r="I1364" s="214"/>
      <c r="J1364" s="214"/>
      <c r="K1364" s="34"/>
      <c r="L1364" s="34"/>
      <c r="M1364" s="34"/>
      <c r="N1364" s="34"/>
      <c r="O1364" s="34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</row>
    <row r="1365" ht="15.75" customHeight="1">
      <c r="A1365" s="34"/>
      <c r="B1365" s="34"/>
      <c r="C1365" s="34"/>
      <c r="D1365" s="212"/>
      <c r="E1365" s="34"/>
      <c r="F1365" s="213"/>
      <c r="G1365" s="213"/>
      <c r="H1365" s="34"/>
      <c r="I1365" s="214"/>
      <c r="J1365" s="214"/>
      <c r="K1365" s="34"/>
      <c r="L1365" s="34"/>
      <c r="M1365" s="34"/>
      <c r="N1365" s="34"/>
      <c r="O1365" s="34"/>
      <c r="P1365" s="34"/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</row>
    <row r="1366" ht="15.75" customHeight="1">
      <c r="A1366" s="34"/>
      <c r="B1366" s="34"/>
      <c r="C1366" s="34"/>
      <c r="D1366" s="212"/>
      <c r="E1366" s="34"/>
      <c r="F1366" s="213"/>
      <c r="G1366" s="213"/>
      <c r="H1366" s="34"/>
      <c r="I1366" s="214"/>
      <c r="J1366" s="214"/>
      <c r="K1366" s="34"/>
      <c r="L1366" s="34"/>
      <c r="M1366" s="34"/>
      <c r="N1366" s="34"/>
      <c r="O1366" s="34"/>
      <c r="P1366" s="34"/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</row>
    <row r="1367" ht="15.75" customHeight="1">
      <c r="A1367" s="34"/>
      <c r="B1367" s="34"/>
      <c r="C1367" s="34"/>
      <c r="D1367" s="212"/>
      <c r="E1367" s="34"/>
      <c r="F1367" s="213"/>
      <c r="G1367" s="213"/>
      <c r="H1367" s="34"/>
      <c r="I1367" s="214"/>
      <c r="J1367" s="214"/>
      <c r="K1367" s="34"/>
      <c r="L1367" s="34"/>
      <c r="M1367" s="34"/>
      <c r="N1367" s="34"/>
      <c r="O1367" s="34"/>
      <c r="P1367" s="34"/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</row>
    <row r="1368" ht="15.75" customHeight="1">
      <c r="A1368" s="34"/>
      <c r="B1368" s="34"/>
      <c r="C1368" s="34"/>
      <c r="D1368" s="212"/>
      <c r="E1368" s="34"/>
      <c r="F1368" s="213"/>
      <c r="G1368" s="213"/>
      <c r="H1368" s="34"/>
      <c r="I1368" s="214"/>
      <c r="J1368" s="214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</row>
    <row r="1369" ht="15.75" customHeight="1">
      <c r="A1369" s="34"/>
      <c r="B1369" s="34"/>
      <c r="C1369" s="34"/>
      <c r="D1369" s="212"/>
      <c r="E1369" s="34"/>
      <c r="F1369" s="213"/>
      <c r="G1369" s="213"/>
      <c r="H1369" s="34"/>
      <c r="I1369" s="214"/>
      <c r="J1369" s="21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</row>
    <row r="1370" ht="15.75" customHeight="1">
      <c r="A1370" s="34"/>
      <c r="B1370" s="34"/>
      <c r="C1370" s="34"/>
      <c r="D1370" s="212"/>
      <c r="E1370" s="34"/>
      <c r="F1370" s="213"/>
      <c r="G1370" s="213"/>
      <c r="H1370" s="34"/>
      <c r="I1370" s="214"/>
      <c r="J1370" s="214"/>
      <c r="K1370" s="34"/>
      <c r="L1370" s="34"/>
      <c r="M1370" s="34"/>
      <c r="N1370" s="34"/>
      <c r="O1370" s="34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</row>
    <row r="1371" ht="15.75" customHeight="1">
      <c r="A1371" s="34"/>
      <c r="B1371" s="34"/>
      <c r="C1371" s="34"/>
      <c r="D1371" s="212"/>
      <c r="E1371" s="34"/>
      <c r="F1371" s="213"/>
      <c r="G1371" s="213"/>
      <c r="H1371" s="34"/>
      <c r="I1371" s="214"/>
      <c r="J1371" s="214"/>
      <c r="K1371" s="34"/>
      <c r="L1371" s="34"/>
      <c r="M1371" s="34"/>
      <c r="N1371" s="34"/>
      <c r="O1371" s="34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</row>
    <row r="1372" ht="15.75" customHeight="1">
      <c r="A1372" s="34"/>
      <c r="B1372" s="34"/>
      <c r="C1372" s="34"/>
      <c r="D1372" s="212"/>
      <c r="E1372" s="34"/>
      <c r="F1372" s="213"/>
      <c r="G1372" s="213"/>
      <c r="H1372" s="34"/>
      <c r="I1372" s="214"/>
      <c r="J1372" s="21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</row>
    <row r="1373" ht="15.75" customHeight="1">
      <c r="A1373" s="34"/>
      <c r="B1373" s="34"/>
      <c r="C1373" s="34"/>
      <c r="D1373" s="212"/>
      <c r="E1373" s="34"/>
      <c r="F1373" s="213"/>
      <c r="G1373" s="213"/>
      <c r="H1373" s="34"/>
      <c r="I1373" s="214"/>
      <c r="J1373" s="21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</row>
    <row r="1374" ht="15.75" customHeight="1">
      <c r="A1374" s="34"/>
      <c r="B1374" s="34"/>
      <c r="C1374" s="34"/>
      <c r="D1374" s="212"/>
      <c r="E1374" s="34"/>
      <c r="F1374" s="213"/>
      <c r="G1374" s="213"/>
      <c r="H1374" s="34"/>
      <c r="I1374" s="214"/>
      <c r="J1374" s="214"/>
      <c r="K1374" s="34"/>
      <c r="L1374" s="34"/>
      <c r="M1374" s="34"/>
      <c r="N1374" s="34"/>
      <c r="O1374" s="34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</row>
    <row r="1375" ht="15.75" customHeight="1">
      <c r="A1375" s="34"/>
      <c r="B1375" s="34"/>
      <c r="C1375" s="34"/>
      <c r="D1375" s="212"/>
      <c r="E1375" s="34"/>
      <c r="F1375" s="213"/>
      <c r="G1375" s="213"/>
      <c r="H1375" s="34"/>
      <c r="I1375" s="214"/>
      <c r="J1375" s="214"/>
      <c r="K1375" s="34"/>
      <c r="L1375" s="34"/>
      <c r="M1375" s="34"/>
      <c r="N1375" s="34"/>
      <c r="O1375" s="34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</row>
    <row r="1376" ht="15.75" customHeight="1">
      <c r="A1376" s="34"/>
      <c r="B1376" s="34"/>
      <c r="C1376" s="34"/>
      <c r="D1376" s="212"/>
      <c r="E1376" s="34"/>
      <c r="F1376" s="213"/>
      <c r="G1376" s="213"/>
      <c r="H1376" s="34"/>
      <c r="I1376" s="214"/>
      <c r="J1376" s="214"/>
      <c r="K1376" s="34"/>
      <c r="L1376" s="34"/>
      <c r="M1376" s="34"/>
      <c r="N1376" s="34"/>
      <c r="O1376" s="34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</row>
    <row r="1377" ht="15.75" customHeight="1">
      <c r="A1377" s="34"/>
      <c r="B1377" s="34"/>
      <c r="C1377" s="34"/>
      <c r="D1377" s="212"/>
      <c r="E1377" s="34"/>
      <c r="F1377" s="213"/>
      <c r="G1377" s="213"/>
      <c r="H1377" s="34"/>
      <c r="I1377" s="214"/>
      <c r="J1377" s="214"/>
      <c r="K1377" s="34"/>
      <c r="L1377" s="34"/>
      <c r="M1377" s="34"/>
      <c r="N1377" s="34"/>
      <c r="O1377" s="34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</row>
    <row r="1378" ht="15.75" customHeight="1">
      <c r="A1378" s="34"/>
      <c r="B1378" s="34"/>
      <c r="C1378" s="34"/>
      <c r="D1378" s="212"/>
      <c r="E1378" s="34"/>
      <c r="F1378" s="213"/>
      <c r="G1378" s="213"/>
      <c r="H1378" s="34"/>
      <c r="I1378" s="214"/>
      <c r="J1378" s="214"/>
      <c r="K1378" s="34"/>
      <c r="L1378" s="34"/>
      <c r="M1378" s="34"/>
      <c r="N1378" s="34"/>
      <c r="O1378" s="34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</row>
    <row r="1379" ht="15.75" customHeight="1">
      <c r="A1379" s="34"/>
      <c r="B1379" s="34"/>
      <c r="C1379" s="34"/>
      <c r="D1379" s="212"/>
      <c r="E1379" s="34"/>
      <c r="F1379" s="213"/>
      <c r="G1379" s="213"/>
      <c r="H1379" s="34"/>
      <c r="I1379" s="214"/>
      <c r="J1379" s="214"/>
      <c r="K1379" s="34"/>
      <c r="L1379" s="34"/>
      <c r="M1379" s="34"/>
      <c r="N1379" s="34"/>
      <c r="O1379" s="34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</row>
    <row r="1380" ht="15.75" customHeight="1">
      <c r="A1380" s="34"/>
      <c r="B1380" s="34"/>
      <c r="C1380" s="34"/>
      <c r="D1380" s="212"/>
      <c r="E1380" s="34"/>
      <c r="F1380" s="213"/>
      <c r="G1380" s="213"/>
      <c r="H1380" s="34"/>
      <c r="I1380" s="214"/>
      <c r="J1380" s="21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</row>
    <row r="1381" ht="15.75" customHeight="1">
      <c r="A1381" s="34"/>
      <c r="B1381" s="34"/>
      <c r="C1381" s="34"/>
      <c r="D1381" s="212"/>
      <c r="E1381" s="34"/>
      <c r="F1381" s="213"/>
      <c r="G1381" s="213"/>
      <c r="H1381" s="34"/>
      <c r="I1381" s="214"/>
      <c r="J1381" s="214"/>
      <c r="K1381" s="34"/>
      <c r="L1381" s="34"/>
      <c r="M1381" s="34"/>
      <c r="N1381" s="34"/>
      <c r="O1381" s="34"/>
      <c r="P1381" s="34"/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</row>
    <row r="1382" ht="15.75" customHeight="1">
      <c r="A1382" s="34"/>
      <c r="B1382" s="34"/>
      <c r="C1382" s="34"/>
      <c r="D1382" s="212"/>
      <c r="E1382" s="34"/>
      <c r="F1382" s="213"/>
      <c r="G1382" s="213"/>
      <c r="H1382" s="34"/>
      <c r="I1382" s="214"/>
      <c r="J1382" s="214"/>
      <c r="K1382" s="34"/>
      <c r="L1382" s="34"/>
      <c r="M1382" s="34"/>
      <c r="N1382" s="34"/>
      <c r="O1382" s="34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</row>
    <row r="1383" ht="15.75" customHeight="1">
      <c r="A1383" s="34"/>
      <c r="B1383" s="34"/>
      <c r="C1383" s="34"/>
      <c r="D1383" s="212"/>
      <c r="E1383" s="34"/>
      <c r="F1383" s="213"/>
      <c r="G1383" s="213"/>
      <c r="H1383" s="34"/>
      <c r="I1383" s="214"/>
      <c r="J1383" s="214"/>
      <c r="K1383" s="34"/>
      <c r="L1383" s="34"/>
      <c r="M1383" s="34"/>
      <c r="N1383" s="34"/>
      <c r="O1383" s="34"/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</row>
    <row r="1384" ht="15.75" customHeight="1">
      <c r="A1384" s="34"/>
      <c r="B1384" s="34"/>
      <c r="C1384" s="34"/>
      <c r="D1384" s="212"/>
      <c r="E1384" s="34"/>
      <c r="F1384" s="213"/>
      <c r="G1384" s="213"/>
      <c r="H1384" s="34"/>
      <c r="I1384" s="214"/>
      <c r="J1384" s="214"/>
      <c r="K1384" s="34"/>
      <c r="L1384" s="34"/>
      <c r="M1384" s="34"/>
      <c r="N1384" s="34"/>
      <c r="O1384" s="34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</row>
    <row r="1385" ht="15.75" customHeight="1">
      <c r="A1385" s="34"/>
      <c r="B1385" s="34"/>
      <c r="C1385" s="34"/>
      <c r="D1385" s="212"/>
      <c r="E1385" s="34"/>
      <c r="F1385" s="213"/>
      <c r="G1385" s="213"/>
      <c r="H1385" s="34"/>
      <c r="I1385" s="214"/>
      <c r="J1385" s="214"/>
      <c r="K1385" s="34"/>
      <c r="L1385" s="34"/>
      <c r="M1385" s="34"/>
      <c r="N1385" s="34"/>
      <c r="O1385" s="34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</row>
    <row r="1386" ht="15.75" customHeight="1">
      <c r="A1386" s="34"/>
      <c r="B1386" s="34"/>
      <c r="C1386" s="34"/>
      <c r="D1386" s="212"/>
      <c r="E1386" s="34"/>
      <c r="F1386" s="213"/>
      <c r="G1386" s="213"/>
      <c r="H1386" s="34"/>
      <c r="I1386" s="214"/>
      <c r="J1386" s="21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</row>
    <row r="1387" ht="15.75" customHeight="1">
      <c r="A1387" s="34"/>
      <c r="B1387" s="34"/>
      <c r="C1387" s="34"/>
      <c r="D1387" s="212"/>
      <c r="E1387" s="34"/>
      <c r="F1387" s="213"/>
      <c r="G1387" s="213"/>
      <c r="H1387" s="34"/>
      <c r="I1387" s="214"/>
      <c r="J1387" s="214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</row>
    <row r="1388" ht="15.75" customHeight="1">
      <c r="A1388" s="34"/>
      <c r="B1388" s="34"/>
      <c r="C1388" s="34"/>
      <c r="D1388" s="212"/>
      <c r="E1388" s="34"/>
      <c r="F1388" s="213"/>
      <c r="G1388" s="213"/>
      <c r="H1388" s="34"/>
      <c r="I1388" s="214"/>
      <c r="J1388" s="214"/>
      <c r="K1388" s="34"/>
      <c r="L1388" s="34"/>
      <c r="M1388" s="34"/>
      <c r="N1388" s="34"/>
      <c r="O1388" s="34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</row>
    <row r="1389" ht="15.75" customHeight="1">
      <c r="A1389" s="34"/>
      <c r="B1389" s="34"/>
      <c r="C1389" s="34"/>
      <c r="D1389" s="212"/>
      <c r="E1389" s="34"/>
      <c r="F1389" s="213"/>
      <c r="G1389" s="213"/>
      <c r="H1389" s="34"/>
      <c r="I1389" s="214"/>
      <c r="J1389" s="214"/>
      <c r="K1389" s="34"/>
      <c r="L1389" s="34"/>
      <c r="M1389" s="34"/>
      <c r="N1389" s="34"/>
      <c r="O1389" s="34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</row>
    <row r="1390" ht="15.75" customHeight="1">
      <c r="A1390" s="34"/>
      <c r="B1390" s="34"/>
      <c r="C1390" s="34"/>
      <c r="D1390" s="212"/>
      <c r="E1390" s="34"/>
      <c r="F1390" s="213"/>
      <c r="G1390" s="213"/>
      <c r="H1390" s="34"/>
      <c r="I1390" s="214"/>
      <c r="J1390" s="214"/>
      <c r="K1390" s="34"/>
      <c r="L1390" s="34"/>
      <c r="M1390" s="34"/>
      <c r="N1390" s="34"/>
      <c r="O1390" s="34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</row>
    <row r="1391" ht="15.75" customHeight="1">
      <c r="A1391" s="34"/>
      <c r="B1391" s="34"/>
      <c r="C1391" s="34"/>
      <c r="D1391" s="212"/>
      <c r="E1391" s="34"/>
      <c r="F1391" s="213"/>
      <c r="G1391" s="213"/>
      <c r="H1391" s="34"/>
      <c r="I1391" s="214"/>
      <c r="J1391" s="21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</row>
    <row r="1392" ht="15.75" customHeight="1">
      <c r="A1392" s="34"/>
      <c r="B1392" s="34"/>
      <c r="C1392" s="34"/>
      <c r="D1392" s="212"/>
      <c r="E1392" s="34"/>
      <c r="F1392" s="213"/>
      <c r="G1392" s="213"/>
      <c r="H1392" s="34"/>
      <c r="I1392" s="214"/>
      <c r="J1392" s="214"/>
      <c r="K1392" s="34"/>
      <c r="L1392" s="34"/>
      <c r="M1392" s="34"/>
      <c r="N1392" s="34"/>
      <c r="O1392" s="34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</row>
    <row r="1393" ht="15.75" customHeight="1">
      <c r="A1393" s="34"/>
      <c r="B1393" s="34"/>
      <c r="C1393" s="34"/>
      <c r="D1393" s="212"/>
      <c r="E1393" s="34"/>
      <c r="F1393" s="213"/>
      <c r="G1393" s="213"/>
      <c r="H1393" s="34"/>
      <c r="I1393" s="214"/>
      <c r="J1393" s="214"/>
      <c r="K1393" s="34"/>
      <c r="L1393" s="34"/>
      <c r="M1393" s="34"/>
      <c r="N1393" s="34"/>
      <c r="O1393" s="34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</row>
    <row r="1394" ht="15.75" customHeight="1">
      <c r="A1394" s="34"/>
      <c r="B1394" s="34"/>
      <c r="C1394" s="34"/>
      <c r="D1394" s="212"/>
      <c r="E1394" s="34"/>
      <c r="F1394" s="213"/>
      <c r="G1394" s="213"/>
      <c r="H1394" s="34"/>
      <c r="I1394" s="214"/>
      <c r="J1394" s="214"/>
      <c r="K1394" s="34"/>
      <c r="L1394" s="34"/>
      <c r="M1394" s="34"/>
      <c r="N1394" s="34"/>
      <c r="O1394" s="34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</row>
    <row r="1395" ht="15.75" customHeight="1">
      <c r="A1395" s="34"/>
      <c r="B1395" s="34"/>
      <c r="C1395" s="34"/>
      <c r="D1395" s="212"/>
      <c r="E1395" s="34"/>
      <c r="F1395" s="213"/>
      <c r="G1395" s="213"/>
      <c r="H1395" s="34"/>
      <c r="I1395" s="214"/>
      <c r="J1395" s="214"/>
      <c r="K1395" s="34"/>
      <c r="L1395" s="34"/>
      <c r="M1395" s="34"/>
      <c r="N1395" s="34"/>
      <c r="O1395" s="34"/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</row>
    <row r="1396" ht="15.75" customHeight="1">
      <c r="A1396" s="34"/>
      <c r="B1396" s="34"/>
      <c r="C1396" s="34"/>
      <c r="D1396" s="212"/>
      <c r="E1396" s="34"/>
      <c r="F1396" s="213"/>
      <c r="G1396" s="213"/>
      <c r="H1396" s="34"/>
      <c r="I1396" s="214"/>
      <c r="J1396" s="214"/>
      <c r="K1396" s="34"/>
      <c r="L1396" s="34"/>
      <c r="M1396" s="34"/>
      <c r="N1396" s="34"/>
      <c r="O1396" s="34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</row>
    <row r="1397" ht="15.75" customHeight="1">
      <c r="A1397" s="34"/>
      <c r="B1397" s="34"/>
      <c r="C1397" s="34"/>
      <c r="D1397" s="212"/>
      <c r="E1397" s="34"/>
      <c r="F1397" s="213"/>
      <c r="G1397" s="213"/>
      <c r="H1397" s="34"/>
      <c r="I1397" s="214"/>
      <c r="J1397" s="214"/>
      <c r="K1397" s="34"/>
      <c r="L1397" s="34"/>
      <c r="M1397" s="34"/>
      <c r="N1397" s="34"/>
      <c r="O1397" s="34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</row>
    <row r="1398" ht="15.75" customHeight="1">
      <c r="A1398" s="34"/>
      <c r="B1398" s="34"/>
      <c r="C1398" s="34"/>
      <c r="D1398" s="212"/>
      <c r="E1398" s="34"/>
      <c r="F1398" s="213"/>
      <c r="G1398" s="213"/>
      <c r="H1398" s="34"/>
      <c r="I1398" s="214"/>
      <c r="J1398" s="214"/>
      <c r="K1398" s="34"/>
      <c r="L1398" s="34"/>
      <c r="M1398" s="34"/>
      <c r="N1398" s="34"/>
      <c r="O1398" s="34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</row>
    <row r="1399" ht="15.75" customHeight="1">
      <c r="A1399" s="34"/>
      <c r="B1399" s="34"/>
      <c r="C1399" s="34"/>
      <c r="D1399" s="212"/>
      <c r="E1399" s="34"/>
      <c r="F1399" s="213"/>
      <c r="G1399" s="213"/>
      <c r="H1399" s="34"/>
      <c r="I1399" s="214"/>
      <c r="J1399" s="214"/>
      <c r="K1399" s="34"/>
      <c r="L1399" s="34"/>
      <c r="M1399" s="34"/>
      <c r="N1399" s="34"/>
      <c r="O1399" s="34"/>
      <c r="P1399" s="34"/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</row>
    <row r="1400" ht="15.75" customHeight="1">
      <c r="A1400" s="34"/>
      <c r="B1400" s="34"/>
      <c r="C1400" s="34"/>
      <c r="D1400" s="212"/>
      <c r="E1400" s="34"/>
      <c r="F1400" s="213"/>
      <c r="G1400" s="213"/>
      <c r="H1400" s="34"/>
      <c r="I1400" s="214"/>
      <c r="J1400" s="214"/>
      <c r="K1400" s="34"/>
      <c r="L1400" s="34"/>
      <c r="M1400" s="34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</row>
    <row r="1401" ht="15.75" customHeight="1">
      <c r="A1401" s="34"/>
      <c r="B1401" s="34"/>
      <c r="C1401" s="34"/>
      <c r="D1401" s="212"/>
      <c r="E1401" s="34"/>
      <c r="F1401" s="213"/>
      <c r="G1401" s="213"/>
      <c r="H1401" s="34"/>
      <c r="I1401" s="214"/>
      <c r="J1401" s="214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</row>
    <row r="1402" ht="15.75" customHeight="1">
      <c r="A1402" s="34"/>
      <c r="B1402" s="34"/>
      <c r="C1402" s="34"/>
      <c r="D1402" s="212"/>
      <c r="E1402" s="34"/>
      <c r="F1402" s="213"/>
      <c r="G1402" s="213"/>
      <c r="H1402" s="34"/>
      <c r="I1402" s="214"/>
      <c r="J1402" s="214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</row>
    <row r="1403" ht="15.75" customHeight="1">
      <c r="A1403" s="34"/>
      <c r="B1403" s="34"/>
      <c r="C1403" s="34"/>
      <c r="D1403" s="212"/>
      <c r="E1403" s="34"/>
      <c r="F1403" s="213"/>
      <c r="G1403" s="213"/>
      <c r="H1403" s="34"/>
      <c r="I1403" s="214"/>
      <c r="J1403" s="21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</row>
    <row r="1404" ht="15.75" customHeight="1">
      <c r="A1404" s="34"/>
      <c r="B1404" s="34"/>
      <c r="C1404" s="34"/>
      <c r="D1404" s="212"/>
      <c r="E1404" s="34"/>
      <c r="F1404" s="213"/>
      <c r="G1404" s="213"/>
      <c r="H1404" s="34"/>
      <c r="I1404" s="214"/>
      <c r="J1404" s="214"/>
      <c r="K1404" s="34"/>
      <c r="L1404" s="34"/>
      <c r="M1404" s="34"/>
      <c r="N1404" s="34"/>
      <c r="O1404" s="34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</row>
    <row r="1405" ht="15.75" customHeight="1">
      <c r="A1405" s="34"/>
      <c r="B1405" s="34"/>
      <c r="C1405" s="34"/>
      <c r="D1405" s="212"/>
      <c r="E1405" s="34"/>
      <c r="F1405" s="213"/>
      <c r="G1405" s="213"/>
      <c r="H1405" s="34"/>
      <c r="I1405" s="214"/>
      <c r="J1405" s="214"/>
      <c r="K1405" s="34"/>
      <c r="L1405" s="34"/>
      <c r="M1405" s="34"/>
      <c r="N1405" s="34"/>
      <c r="O1405" s="34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</row>
    <row r="1406" ht="15.75" customHeight="1">
      <c r="A1406" s="34"/>
      <c r="B1406" s="34"/>
      <c r="C1406" s="34"/>
      <c r="D1406" s="212"/>
      <c r="E1406" s="34"/>
      <c r="F1406" s="213"/>
      <c r="G1406" s="213"/>
      <c r="H1406" s="34"/>
      <c r="I1406" s="214"/>
      <c r="J1406" s="21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</row>
    <row r="1407" ht="15.75" customHeight="1">
      <c r="A1407" s="34"/>
      <c r="B1407" s="34"/>
      <c r="C1407" s="34"/>
      <c r="D1407" s="212"/>
      <c r="E1407" s="34"/>
      <c r="F1407" s="213"/>
      <c r="G1407" s="213"/>
      <c r="H1407" s="34"/>
      <c r="I1407" s="214"/>
      <c r="J1407" s="21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</row>
    <row r="1408" ht="15.75" customHeight="1">
      <c r="A1408" s="34"/>
      <c r="B1408" s="34"/>
      <c r="C1408" s="34"/>
      <c r="D1408" s="212"/>
      <c r="E1408" s="34"/>
      <c r="F1408" s="213"/>
      <c r="G1408" s="213"/>
      <c r="H1408" s="34"/>
      <c r="I1408" s="214"/>
      <c r="J1408" s="214"/>
      <c r="K1408" s="34"/>
      <c r="L1408" s="34"/>
      <c r="M1408" s="34"/>
      <c r="N1408" s="34"/>
      <c r="O1408" s="34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</row>
    <row r="1409" ht="15.75" customHeight="1">
      <c r="A1409" s="34"/>
      <c r="B1409" s="34"/>
      <c r="C1409" s="34"/>
      <c r="D1409" s="212"/>
      <c r="E1409" s="34"/>
      <c r="F1409" s="213"/>
      <c r="G1409" s="213"/>
      <c r="H1409" s="34"/>
      <c r="I1409" s="214"/>
      <c r="J1409" s="214"/>
      <c r="K1409" s="34"/>
      <c r="L1409" s="34"/>
      <c r="M1409" s="34"/>
      <c r="N1409" s="34"/>
      <c r="O1409" s="34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</row>
    <row r="1410" ht="15.75" customHeight="1">
      <c r="A1410" s="34"/>
      <c r="B1410" s="34"/>
      <c r="C1410" s="34"/>
      <c r="D1410" s="212"/>
      <c r="E1410" s="34"/>
      <c r="F1410" s="213"/>
      <c r="G1410" s="213"/>
      <c r="H1410" s="34"/>
      <c r="I1410" s="214"/>
      <c r="J1410" s="21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</row>
    <row r="1411" ht="15.75" customHeight="1">
      <c r="A1411" s="34"/>
      <c r="B1411" s="34"/>
      <c r="C1411" s="34"/>
      <c r="D1411" s="212"/>
      <c r="E1411" s="34"/>
      <c r="F1411" s="213"/>
      <c r="G1411" s="213"/>
      <c r="H1411" s="34"/>
      <c r="I1411" s="214"/>
      <c r="J1411" s="214"/>
      <c r="K1411" s="34"/>
      <c r="L1411" s="34"/>
      <c r="M1411" s="34"/>
      <c r="N1411" s="34"/>
      <c r="O1411" s="34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</row>
    <row r="1412" ht="15.75" customHeight="1">
      <c r="A1412" s="34"/>
      <c r="B1412" s="34"/>
      <c r="C1412" s="34"/>
      <c r="D1412" s="212"/>
      <c r="E1412" s="34"/>
      <c r="F1412" s="213"/>
      <c r="G1412" s="213"/>
      <c r="H1412" s="34"/>
      <c r="I1412" s="214"/>
      <c r="J1412" s="214"/>
      <c r="K1412" s="34"/>
      <c r="L1412" s="34"/>
      <c r="M1412" s="34"/>
      <c r="N1412" s="34"/>
      <c r="O1412" s="34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</row>
    <row r="1413" ht="15.75" customHeight="1">
      <c r="A1413" s="34"/>
      <c r="B1413" s="34"/>
      <c r="C1413" s="34"/>
      <c r="D1413" s="212"/>
      <c r="E1413" s="34"/>
      <c r="F1413" s="213"/>
      <c r="G1413" s="213"/>
      <c r="H1413" s="34"/>
      <c r="I1413" s="214"/>
      <c r="J1413" s="214"/>
      <c r="K1413" s="34"/>
      <c r="L1413" s="34"/>
      <c r="M1413" s="34"/>
      <c r="N1413" s="34"/>
      <c r="O1413" s="34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</row>
    <row r="1414" ht="15.75" customHeight="1">
      <c r="A1414" s="34"/>
      <c r="B1414" s="34"/>
      <c r="C1414" s="34"/>
      <c r="D1414" s="212"/>
      <c r="E1414" s="34"/>
      <c r="F1414" s="213"/>
      <c r="G1414" s="213"/>
      <c r="H1414" s="34"/>
      <c r="I1414" s="214"/>
      <c r="J1414" s="21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</row>
    <row r="1415" ht="15.75" customHeight="1">
      <c r="A1415" s="34"/>
      <c r="B1415" s="34"/>
      <c r="C1415" s="34"/>
      <c r="D1415" s="212"/>
      <c r="E1415" s="34"/>
      <c r="F1415" s="213"/>
      <c r="G1415" s="213"/>
      <c r="H1415" s="34"/>
      <c r="I1415" s="214"/>
      <c r="J1415" s="214"/>
      <c r="K1415" s="34"/>
      <c r="L1415" s="34"/>
      <c r="M1415" s="34"/>
      <c r="N1415" s="34"/>
      <c r="O1415" s="34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</row>
    <row r="1416" ht="15.75" customHeight="1">
      <c r="A1416" s="34"/>
      <c r="B1416" s="34"/>
      <c r="C1416" s="34"/>
      <c r="D1416" s="212"/>
      <c r="E1416" s="34"/>
      <c r="F1416" s="213"/>
      <c r="G1416" s="213"/>
      <c r="H1416" s="34"/>
      <c r="I1416" s="214"/>
      <c r="J1416" s="214"/>
      <c r="K1416" s="34"/>
      <c r="L1416" s="34"/>
      <c r="M1416" s="34"/>
      <c r="N1416" s="34"/>
      <c r="O1416" s="34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</row>
    <row r="1417" ht="15.75" customHeight="1">
      <c r="A1417" s="34"/>
      <c r="B1417" s="34"/>
      <c r="C1417" s="34"/>
      <c r="D1417" s="212"/>
      <c r="E1417" s="34"/>
      <c r="F1417" s="213"/>
      <c r="G1417" s="213"/>
      <c r="H1417" s="34"/>
      <c r="I1417" s="214"/>
      <c r="J1417" s="214"/>
      <c r="K1417" s="34"/>
      <c r="L1417" s="34"/>
      <c r="M1417" s="34"/>
      <c r="N1417" s="34"/>
      <c r="O1417" s="34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</row>
    <row r="1418" ht="15.75" customHeight="1">
      <c r="A1418" s="34"/>
      <c r="B1418" s="34"/>
      <c r="C1418" s="34"/>
      <c r="D1418" s="212"/>
      <c r="E1418" s="34"/>
      <c r="F1418" s="213"/>
      <c r="G1418" s="213"/>
      <c r="H1418" s="34"/>
      <c r="I1418" s="214"/>
      <c r="J1418" s="214"/>
      <c r="K1418" s="34"/>
      <c r="L1418" s="34"/>
      <c r="M1418" s="34"/>
      <c r="N1418" s="34"/>
      <c r="O1418" s="34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</row>
    <row r="1419" ht="15.75" customHeight="1">
      <c r="A1419" s="34"/>
      <c r="B1419" s="34"/>
      <c r="C1419" s="34"/>
      <c r="D1419" s="212"/>
      <c r="E1419" s="34"/>
      <c r="F1419" s="213"/>
      <c r="G1419" s="213"/>
      <c r="H1419" s="34"/>
      <c r="I1419" s="214"/>
      <c r="J1419" s="214"/>
      <c r="K1419" s="34"/>
      <c r="L1419" s="34"/>
      <c r="M1419" s="34"/>
      <c r="N1419" s="34"/>
      <c r="O1419" s="34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</row>
    <row r="1420" ht="15.75" customHeight="1">
      <c r="A1420" s="34"/>
      <c r="B1420" s="34"/>
      <c r="C1420" s="34"/>
      <c r="D1420" s="212"/>
      <c r="E1420" s="34"/>
      <c r="F1420" s="213"/>
      <c r="G1420" s="213"/>
      <c r="H1420" s="34"/>
      <c r="I1420" s="214"/>
      <c r="J1420" s="21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</row>
    <row r="1421" ht="15.75" customHeight="1">
      <c r="A1421" s="34"/>
      <c r="B1421" s="34"/>
      <c r="C1421" s="34"/>
      <c r="D1421" s="212"/>
      <c r="E1421" s="34"/>
      <c r="F1421" s="213"/>
      <c r="G1421" s="213"/>
      <c r="H1421" s="34"/>
      <c r="I1421" s="214"/>
      <c r="J1421" s="214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</row>
    <row r="1422" ht="15.75" customHeight="1">
      <c r="A1422" s="34"/>
      <c r="B1422" s="34"/>
      <c r="C1422" s="34"/>
      <c r="D1422" s="212"/>
      <c r="E1422" s="34"/>
      <c r="F1422" s="213"/>
      <c r="G1422" s="213"/>
      <c r="H1422" s="34"/>
      <c r="I1422" s="214"/>
      <c r="J1422" s="214"/>
      <c r="K1422" s="34"/>
      <c r="L1422" s="34"/>
      <c r="M1422" s="34"/>
      <c r="N1422" s="34"/>
      <c r="O1422" s="34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</row>
    <row r="1423" ht="15.75" customHeight="1">
      <c r="A1423" s="34"/>
      <c r="B1423" s="34"/>
      <c r="C1423" s="34"/>
      <c r="D1423" s="212"/>
      <c r="E1423" s="34"/>
      <c r="F1423" s="213"/>
      <c r="G1423" s="213"/>
      <c r="H1423" s="34"/>
      <c r="I1423" s="214"/>
      <c r="J1423" s="214"/>
      <c r="K1423" s="34"/>
      <c r="L1423" s="34"/>
      <c r="M1423" s="34"/>
      <c r="N1423" s="34"/>
      <c r="O1423" s="34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</row>
    <row r="1424" ht="15.75" customHeight="1">
      <c r="A1424" s="34"/>
      <c r="B1424" s="34"/>
      <c r="C1424" s="34"/>
      <c r="D1424" s="212"/>
      <c r="E1424" s="34"/>
      <c r="F1424" s="213"/>
      <c r="G1424" s="213"/>
      <c r="H1424" s="34"/>
      <c r="I1424" s="214"/>
      <c r="J1424" s="214"/>
      <c r="K1424" s="34"/>
      <c r="L1424" s="34"/>
      <c r="M1424" s="34"/>
      <c r="N1424" s="34"/>
      <c r="O1424" s="34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</row>
    <row r="1425" ht="15.75" customHeight="1">
      <c r="A1425" s="34"/>
      <c r="B1425" s="34"/>
      <c r="C1425" s="34"/>
      <c r="D1425" s="212"/>
      <c r="E1425" s="34"/>
      <c r="F1425" s="213"/>
      <c r="G1425" s="213"/>
      <c r="H1425" s="34"/>
      <c r="I1425" s="214"/>
      <c r="J1425" s="21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</row>
    <row r="1426" ht="15.75" customHeight="1">
      <c r="A1426" s="34"/>
      <c r="B1426" s="34"/>
      <c r="C1426" s="34"/>
      <c r="D1426" s="212"/>
      <c r="E1426" s="34"/>
      <c r="F1426" s="213"/>
      <c r="G1426" s="213"/>
      <c r="H1426" s="34"/>
      <c r="I1426" s="214"/>
      <c r="J1426" s="214"/>
      <c r="K1426" s="34"/>
      <c r="L1426" s="34"/>
      <c r="M1426" s="34"/>
      <c r="N1426" s="34"/>
      <c r="O1426" s="34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</row>
    <row r="1427" ht="15.75" customHeight="1">
      <c r="A1427" s="34"/>
      <c r="B1427" s="34"/>
      <c r="C1427" s="34"/>
      <c r="D1427" s="212"/>
      <c r="E1427" s="34"/>
      <c r="F1427" s="213"/>
      <c r="G1427" s="213"/>
      <c r="H1427" s="34"/>
      <c r="I1427" s="214"/>
      <c r="J1427" s="214"/>
      <c r="K1427" s="34"/>
      <c r="L1427" s="34"/>
      <c r="M1427" s="34"/>
      <c r="N1427" s="34"/>
      <c r="O1427" s="34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</row>
    <row r="1428" ht="15.75" customHeight="1">
      <c r="A1428" s="34"/>
      <c r="B1428" s="34"/>
      <c r="C1428" s="34"/>
      <c r="D1428" s="212"/>
      <c r="E1428" s="34"/>
      <c r="F1428" s="213"/>
      <c r="G1428" s="213"/>
      <c r="H1428" s="34"/>
      <c r="I1428" s="214"/>
      <c r="J1428" s="214"/>
      <c r="K1428" s="34"/>
      <c r="L1428" s="34"/>
      <c r="M1428" s="34"/>
      <c r="N1428" s="34"/>
      <c r="O1428" s="34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</row>
    <row r="1429" ht="15.75" customHeight="1">
      <c r="A1429" s="34"/>
      <c r="B1429" s="34"/>
      <c r="C1429" s="34"/>
      <c r="D1429" s="212"/>
      <c r="E1429" s="34"/>
      <c r="F1429" s="213"/>
      <c r="G1429" s="213"/>
      <c r="H1429" s="34"/>
      <c r="I1429" s="214"/>
      <c r="J1429" s="214"/>
      <c r="K1429" s="34"/>
      <c r="L1429" s="34"/>
      <c r="M1429" s="34"/>
      <c r="N1429" s="34"/>
      <c r="O1429" s="34"/>
      <c r="P1429" s="34"/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</row>
    <row r="1430" ht="15.75" customHeight="1">
      <c r="A1430" s="34"/>
      <c r="B1430" s="34"/>
      <c r="C1430" s="34"/>
      <c r="D1430" s="212"/>
      <c r="E1430" s="34"/>
      <c r="F1430" s="213"/>
      <c r="G1430" s="213"/>
      <c r="H1430" s="34"/>
      <c r="I1430" s="214"/>
      <c r="J1430" s="214"/>
      <c r="K1430" s="34"/>
      <c r="L1430" s="34"/>
      <c r="M1430" s="34"/>
      <c r="N1430" s="34"/>
      <c r="O1430" s="34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</row>
    <row r="1431" ht="15.75" customHeight="1">
      <c r="A1431" s="34"/>
      <c r="B1431" s="34"/>
      <c r="C1431" s="34"/>
      <c r="D1431" s="212"/>
      <c r="E1431" s="34"/>
      <c r="F1431" s="213"/>
      <c r="G1431" s="213"/>
      <c r="H1431" s="34"/>
      <c r="I1431" s="214"/>
      <c r="J1431" s="214"/>
      <c r="K1431" s="34"/>
      <c r="L1431" s="34"/>
      <c r="M1431" s="34"/>
      <c r="N1431" s="34"/>
      <c r="O1431" s="34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</row>
    <row r="1432" ht="15.75" customHeight="1">
      <c r="A1432" s="34"/>
      <c r="B1432" s="34"/>
      <c r="C1432" s="34"/>
      <c r="D1432" s="212"/>
      <c r="E1432" s="34"/>
      <c r="F1432" s="213"/>
      <c r="G1432" s="213"/>
      <c r="H1432" s="34"/>
      <c r="I1432" s="214"/>
      <c r="J1432" s="214"/>
      <c r="K1432" s="34"/>
      <c r="L1432" s="34"/>
      <c r="M1432" s="34"/>
      <c r="N1432" s="34"/>
      <c r="O1432" s="34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</row>
    <row r="1433" ht="15.75" customHeight="1">
      <c r="A1433" s="34"/>
      <c r="B1433" s="34"/>
      <c r="C1433" s="34"/>
      <c r="D1433" s="212"/>
      <c r="E1433" s="34"/>
      <c r="F1433" s="213"/>
      <c r="G1433" s="213"/>
      <c r="H1433" s="34"/>
      <c r="I1433" s="214"/>
      <c r="J1433" s="214"/>
      <c r="K1433" s="34"/>
      <c r="L1433" s="34"/>
      <c r="M1433" s="34"/>
      <c r="N1433" s="34"/>
      <c r="O1433" s="34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</row>
    <row r="1434" ht="15.75" customHeight="1">
      <c r="A1434" s="34"/>
      <c r="B1434" s="34"/>
      <c r="C1434" s="34"/>
      <c r="D1434" s="212"/>
      <c r="E1434" s="34"/>
      <c r="F1434" s="213"/>
      <c r="G1434" s="213"/>
      <c r="H1434" s="34"/>
      <c r="I1434" s="214"/>
      <c r="J1434" s="214"/>
      <c r="K1434" s="34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</row>
    <row r="1435" ht="15.75" customHeight="1">
      <c r="A1435" s="34"/>
      <c r="B1435" s="34"/>
      <c r="C1435" s="34"/>
      <c r="D1435" s="212"/>
      <c r="E1435" s="34"/>
      <c r="F1435" s="213"/>
      <c r="G1435" s="213"/>
      <c r="H1435" s="34"/>
      <c r="I1435" s="214"/>
      <c r="J1435" s="214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</row>
    <row r="1436" ht="15.75" customHeight="1">
      <c r="A1436" s="34"/>
      <c r="B1436" s="34"/>
      <c r="C1436" s="34"/>
      <c r="D1436" s="212"/>
      <c r="E1436" s="34"/>
      <c r="F1436" s="213"/>
      <c r="G1436" s="213"/>
      <c r="H1436" s="34"/>
      <c r="I1436" s="214"/>
      <c r="J1436" s="214"/>
      <c r="K1436" s="34"/>
      <c r="L1436" s="34"/>
      <c r="M1436" s="34"/>
      <c r="N1436" s="34"/>
      <c r="O1436" s="34"/>
      <c r="P1436" s="34"/>
      <c r="Q1436" s="34"/>
      <c r="R1436" s="34"/>
      <c r="S1436" s="34"/>
      <c r="T1436" s="34"/>
      <c r="U1436" s="34"/>
      <c r="V1436" s="34"/>
      <c r="W1436" s="34"/>
      <c r="X1436" s="34"/>
      <c r="Y1436" s="34"/>
      <c r="Z1436" s="34"/>
    </row>
    <row r="1437" ht="15.75" customHeight="1">
      <c r="A1437" s="34"/>
      <c r="B1437" s="34"/>
      <c r="C1437" s="34"/>
      <c r="D1437" s="212"/>
      <c r="E1437" s="34"/>
      <c r="F1437" s="213"/>
      <c r="G1437" s="213"/>
      <c r="H1437" s="34"/>
      <c r="I1437" s="214"/>
      <c r="J1437" s="214"/>
      <c r="K1437" s="34"/>
      <c r="L1437" s="34"/>
      <c r="M1437" s="34"/>
      <c r="N1437" s="34"/>
      <c r="O1437" s="34"/>
      <c r="P1437" s="34"/>
      <c r="Q1437" s="34"/>
      <c r="R1437" s="34"/>
      <c r="S1437" s="34"/>
      <c r="T1437" s="34"/>
      <c r="U1437" s="34"/>
      <c r="V1437" s="34"/>
      <c r="W1437" s="34"/>
      <c r="X1437" s="34"/>
      <c r="Y1437" s="34"/>
      <c r="Z1437" s="34"/>
    </row>
    <row r="1438" ht="15.75" customHeight="1">
      <c r="A1438" s="34"/>
      <c r="B1438" s="34"/>
      <c r="C1438" s="34"/>
      <c r="D1438" s="212"/>
      <c r="E1438" s="34"/>
      <c r="F1438" s="213"/>
      <c r="G1438" s="213"/>
      <c r="H1438" s="34"/>
      <c r="I1438" s="214"/>
      <c r="J1438" s="214"/>
      <c r="K1438" s="34"/>
      <c r="L1438" s="34"/>
      <c r="M1438" s="34"/>
      <c r="N1438" s="34"/>
      <c r="O1438" s="34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</row>
    <row r="1439" ht="15.75" customHeight="1">
      <c r="A1439" s="34"/>
      <c r="B1439" s="34"/>
      <c r="C1439" s="34"/>
      <c r="D1439" s="212"/>
      <c r="E1439" s="34"/>
      <c r="F1439" s="213"/>
      <c r="G1439" s="213"/>
      <c r="H1439" s="34"/>
      <c r="I1439" s="214"/>
      <c r="J1439" s="214"/>
      <c r="K1439" s="34"/>
      <c r="L1439" s="34"/>
      <c r="M1439" s="34"/>
      <c r="N1439" s="34"/>
      <c r="O1439" s="34"/>
      <c r="P1439" s="34"/>
      <c r="Q1439" s="34"/>
      <c r="R1439" s="34"/>
      <c r="S1439" s="34"/>
      <c r="T1439" s="34"/>
      <c r="U1439" s="34"/>
      <c r="V1439" s="34"/>
      <c r="W1439" s="34"/>
      <c r="X1439" s="34"/>
      <c r="Y1439" s="34"/>
      <c r="Z1439" s="34"/>
    </row>
    <row r="1440" ht="15.75" customHeight="1">
      <c r="A1440" s="34"/>
      <c r="B1440" s="34"/>
      <c r="C1440" s="34"/>
      <c r="D1440" s="212"/>
      <c r="E1440" s="34"/>
      <c r="F1440" s="213"/>
      <c r="G1440" s="213"/>
      <c r="H1440" s="34"/>
      <c r="I1440" s="214"/>
      <c r="J1440" s="214"/>
      <c r="K1440" s="34"/>
      <c r="L1440" s="34"/>
      <c r="M1440" s="34"/>
      <c r="N1440" s="34"/>
      <c r="O1440" s="34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</row>
    <row r="1441" ht="15.75" customHeight="1">
      <c r="A1441" s="34"/>
      <c r="B1441" s="34"/>
      <c r="C1441" s="34"/>
      <c r="D1441" s="212"/>
      <c r="E1441" s="34"/>
      <c r="F1441" s="213"/>
      <c r="G1441" s="213"/>
      <c r="H1441" s="34"/>
      <c r="I1441" s="214"/>
      <c r="J1441" s="214"/>
      <c r="K1441" s="34"/>
      <c r="L1441" s="34"/>
      <c r="M1441" s="34"/>
      <c r="N1441" s="34"/>
      <c r="O1441" s="34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</row>
    <row r="1442" ht="15.75" customHeight="1">
      <c r="A1442" s="34"/>
      <c r="B1442" s="34"/>
      <c r="C1442" s="34"/>
      <c r="D1442" s="212"/>
      <c r="E1442" s="34"/>
      <c r="F1442" s="213"/>
      <c r="G1442" s="213"/>
      <c r="H1442" s="34"/>
      <c r="I1442" s="214"/>
      <c r="J1442" s="214"/>
      <c r="K1442" s="34"/>
      <c r="L1442" s="34"/>
      <c r="M1442" s="34"/>
      <c r="N1442" s="34"/>
      <c r="O1442" s="34"/>
      <c r="P1442" s="34"/>
      <c r="Q1442" s="34"/>
      <c r="R1442" s="34"/>
      <c r="S1442" s="34"/>
      <c r="T1442" s="34"/>
      <c r="U1442" s="34"/>
      <c r="V1442" s="34"/>
      <c r="W1442" s="34"/>
      <c r="X1442" s="34"/>
      <c r="Y1442" s="34"/>
      <c r="Z1442" s="34"/>
    </row>
    <row r="1443" ht="15.75" customHeight="1">
      <c r="A1443" s="34"/>
      <c r="B1443" s="34"/>
      <c r="C1443" s="34"/>
      <c r="D1443" s="212"/>
      <c r="E1443" s="34"/>
      <c r="F1443" s="213"/>
      <c r="G1443" s="213"/>
      <c r="H1443" s="34"/>
      <c r="I1443" s="214"/>
      <c r="J1443" s="214"/>
      <c r="K1443" s="34"/>
      <c r="L1443" s="34"/>
      <c r="M1443" s="34"/>
      <c r="N1443" s="34"/>
      <c r="O1443" s="34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</row>
    <row r="1444" ht="15.75" customHeight="1">
      <c r="A1444" s="34"/>
      <c r="B1444" s="34"/>
      <c r="C1444" s="34"/>
      <c r="D1444" s="212"/>
      <c r="E1444" s="34"/>
      <c r="F1444" s="213"/>
      <c r="G1444" s="213"/>
      <c r="H1444" s="34"/>
      <c r="I1444" s="214"/>
      <c r="J1444" s="214"/>
      <c r="K1444" s="34"/>
      <c r="L1444" s="34"/>
      <c r="M1444" s="34"/>
      <c r="N1444" s="34"/>
      <c r="O1444" s="34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</row>
    <row r="1445" ht="15.75" customHeight="1">
      <c r="A1445" s="34"/>
      <c r="B1445" s="34"/>
      <c r="C1445" s="34"/>
      <c r="D1445" s="212"/>
      <c r="E1445" s="34"/>
      <c r="F1445" s="213"/>
      <c r="G1445" s="213"/>
      <c r="H1445" s="34"/>
      <c r="I1445" s="214"/>
      <c r="J1445" s="214"/>
      <c r="K1445" s="34"/>
      <c r="L1445" s="34"/>
      <c r="M1445" s="34"/>
      <c r="N1445" s="34"/>
      <c r="O1445" s="34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</row>
    <row r="1446" ht="15.75" customHeight="1">
      <c r="A1446" s="34"/>
      <c r="B1446" s="34"/>
      <c r="C1446" s="34"/>
      <c r="D1446" s="212"/>
      <c r="E1446" s="34"/>
      <c r="F1446" s="213"/>
      <c r="G1446" s="213"/>
      <c r="H1446" s="34"/>
      <c r="I1446" s="214"/>
      <c r="J1446" s="214"/>
      <c r="K1446" s="34"/>
      <c r="L1446" s="34"/>
      <c r="M1446" s="34"/>
      <c r="N1446" s="34"/>
      <c r="O1446" s="34"/>
      <c r="P1446" s="34"/>
      <c r="Q1446" s="34"/>
      <c r="R1446" s="34"/>
      <c r="S1446" s="34"/>
      <c r="T1446" s="34"/>
      <c r="U1446" s="34"/>
      <c r="V1446" s="34"/>
      <c r="W1446" s="34"/>
      <c r="X1446" s="34"/>
      <c r="Y1446" s="34"/>
      <c r="Z1446" s="34"/>
    </row>
    <row r="1447" ht="15.75" customHeight="1">
      <c r="A1447" s="34"/>
      <c r="B1447" s="34"/>
      <c r="C1447" s="34"/>
      <c r="D1447" s="212"/>
      <c r="E1447" s="34"/>
      <c r="F1447" s="213"/>
      <c r="G1447" s="213"/>
      <c r="H1447" s="34"/>
      <c r="I1447" s="214"/>
      <c r="J1447" s="214"/>
      <c r="K1447" s="34"/>
      <c r="L1447" s="34"/>
      <c r="M1447" s="34"/>
      <c r="N1447" s="34"/>
      <c r="O1447" s="34"/>
      <c r="P1447" s="34"/>
      <c r="Q1447" s="34"/>
      <c r="R1447" s="34"/>
      <c r="S1447" s="34"/>
      <c r="T1447" s="34"/>
      <c r="U1447" s="34"/>
      <c r="V1447" s="34"/>
      <c r="W1447" s="34"/>
      <c r="X1447" s="34"/>
      <c r="Y1447" s="34"/>
      <c r="Z1447" s="34"/>
    </row>
    <row r="1448" ht="15.75" customHeight="1">
      <c r="A1448" s="34"/>
      <c r="B1448" s="34"/>
      <c r="C1448" s="34"/>
      <c r="D1448" s="212"/>
      <c r="E1448" s="34"/>
      <c r="F1448" s="213"/>
      <c r="G1448" s="213"/>
      <c r="H1448" s="34"/>
      <c r="I1448" s="214"/>
      <c r="J1448" s="214"/>
      <c r="K1448" s="34"/>
      <c r="L1448" s="34"/>
      <c r="M1448" s="34"/>
      <c r="N1448" s="34"/>
      <c r="O1448" s="34"/>
      <c r="P1448" s="34"/>
      <c r="Q1448" s="34"/>
      <c r="R1448" s="34"/>
      <c r="S1448" s="34"/>
      <c r="T1448" s="34"/>
      <c r="U1448" s="34"/>
      <c r="V1448" s="34"/>
      <c r="W1448" s="34"/>
      <c r="X1448" s="34"/>
      <c r="Y1448" s="34"/>
      <c r="Z1448" s="34"/>
    </row>
    <row r="1449" ht="15.75" customHeight="1">
      <c r="A1449" s="34"/>
      <c r="B1449" s="34"/>
      <c r="C1449" s="34"/>
      <c r="D1449" s="212"/>
      <c r="E1449" s="34"/>
      <c r="F1449" s="213"/>
      <c r="G1449" s="213"/>
      <c r="H1449" s="34"/>
      <c r="I1449" s="214"/>
      <c r="J1449" s="214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</row>
    <row r="1450" ht="15.75" customHeight="1">
      <c r="A1450" s="34"/>
      <c r="B1450" s="34"/>
      <c r="C1450" s="34"/>
      <c r="D1450" s="212"/>
      <c r="E1450" s="34"/>
      <c r="F1450" s="213"/>
      <c r="G1450" s="213"/>
      <c r="H1450" s="34"/>
      <c r="I1450" s="214"/>
      <c r="J1450" s="21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</row>
    <row r="1451" ht="15.75" customHeight="1">
      <c r="A1451" s="34"/>
      <c r="B1451" s="34"/>
      <c r="C1451" s="34"/>
      <c r="D1451" s="212"/>
      <c r="E1451" s="34"/>
      <c r="F1451" s="213"/>
      <c r="G1451" s="213"/>
      <c r="H1451" s="34"/>
      <c r="I1451" s="214"/>
      <c r="J1451" s="214"/>
      <c r="K1451" s="34"/>
      <c r="L1451" s="34"/>
      <c r="M1451" s="34"/>
      <c r="N1451" s="34"/>
      <c r="O1451" s="34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</row>
    <row r="1452" ht="15.75" customHeight="1">
      <c r="A1452" s="34"/>
      <c r="B1452" s="34"/>
      <c r="C1452" s="34"/>
      <c r="D1452" s="212"/>
      <c r="E1452" s="34"/>
      <c r="F1452" s="213"/>
      <c r="G1452" s="213"/>
      <c r="H1452" s="34"/>
      <c r="I1452" s="214"/>
      <c r="J1452" s="214"/>
      <c r="K1452" s="34"/>
      <c r="L1452" s="34"/>
      <c r="M1452" s="34"/>
      <c r="N1452" s="34"/>
      <c r="O1452" s="34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</row>
    <row r="1453" ht="15.75" customHeight="1">
      <c r="A1453" s="34"/>
      <c r="B1453" s="34"/>
      <c r="C1453" s="34"/>
      <c r="D1453" s="212"/>
      <c r="E1453" s="34"/>
      <c r="F1453" s="213"/>
      <c r="G1453" s="213"/>
      <c r="H1453" s="34"/>
      <c r="I1453" s="214"/>
      <c r="J1453" s="21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</row>
    <row r="1454" ht="15.75" customHeight="1">
      <c r="A1454" s="34"/>
      <c r="B1454" s="34"/>
      <c r="C1454" s="34"/>
      <c r="D1454" s="212"/>
      <c r="E1454" s="34"/>
      <c r="F1454" s="213"/>
      <c r="G1454" s="213"/>
      <c r="H1454" s="34"/>
      <c r="I1454" s="214"/>
      <c r="J1454" s="21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</row>
    <row r="1455" ht="15.75" customHeight="1">
      <c r="A1455" s="34"/>
      <c r="B1455" s="34"/>
      <c r="C1455" s="34"/>
      <c r="D1455" s="212"/>
      <c r="E1455" s="34"/>
      <c r="F1455" s="213"/>
      <c r="G1455" s="213"/>
      <c r="H1455" s="34"/>
      <c r="I1455" s="214"/>
      <c r="J1455" s="214"/>
      <c r="K1455" s="34"/>
      <c r="L1455" s="34"/>
      <c r="M1455" s="34"/>
      <c r="N1455" s="34"/>
      <c r="O1455" s="34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</row>
    <row r="1456" ht="15.75" customHeight="1">
      <c r="A1456" s="34"/>
      <c r="B1456" s="34"/>
      <c r="C1456" s="34"/>
      <c r="D1456" s="212"/>
      <c r="E1456" s="34"/>
      <c r="F1456" s="213"/>
      <c r="G1456" s="213"/>
      <c r="H1456" s="34"/>
      <c r="I1456" s="214"/>
      <c r="J1456" s="214"/>
      <c r="K1456" s="34"/>
      <c r="L1456" s="34"/>
      <c r="M1456" s="34"/>
      <c r="N1456" s="34"/>
      <c r="O1456" s="34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</row>
    <row r="1457" ht="15.75" customHeight="1">
      <c r="A1457" s="34"/>
      <c r="B1457" s="34"/>
      <c r="C1457" s="34"/>
      <c r="D1457" s="212"/>
      <c r="E1457" s="34"/>
      <c r="F1457" s="213"/>
      <c r="G1457" s="213"/>
      <c r="H1457" s="34"/>
      <c r="I1457" s="214"/>
      <c r="J1457" s="214"/>
      <c r="K1457" s="34"/>
      <c r="L1457" s="34"/>
      <c r="M1457" s="34"/>
      <c r="N1457" s="34"/>
      <c r="O1457" s="34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</row>
    <row r="1458" ht="15.75" customHeight="1">
      <c r="A1458" s="34"/>
      <c r="B1458" s="34"/>
      <c r="C1458" s="34"/>
      <c r="D1458" s="212"/>
      <c r="E1458" s="34"/>
      <c r="F1458" s="213"/>
      <c r="G1458" s="213"/>
      <c r="H1458" s="34"/>
      <c r="I1458" s="214"/>
      <c r="J1458" s="214"/>
      <c r="K1458" s="34"/>
      <c r="L1458" s="34"/>
      <c r="M1458" s="34"/>
      <c r="N1458" s="34"/>
      <c r="O1458" s="34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</row>
    <row r="1459" ht="15.75" customHeight="1">
      <c r="A1459" s="34"/>
      <c r="B1459" s="34"/>
      <c r="C1459" s="34"/>
      <c r="D1459" s="212"/>
      <c r="E1459" s="34"/>
      <c r="F1459" s="213"/>
      <c r="G1459" s="213"/>
      <c r="H1459" s="34"/>
      <c r="I1459" s="214"/>
      <c r="J1459" s="214"/>
      <c r="K1459" s="34"/>
      <c r="L1459" s="34"/>
      <c r="M1459" s="34"/>
      <c r="N1459" s="34"/>
      <c r="O1459" s="34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</row>
    <row r="1460" ht="15.75" customHeight="1">
      <c r="A1460" s="34"/>
      <c r="B1460" s="34"/>
      <c r="C1460" s="34"/>
      <c r="D1460" s="212"/>
      <c r="E1460" s="34"/>
      <c r="F1460" s="213"/>
      <c r="G1460" s="213"/>
      <c r="H1460" s="34"/>
      <c r="I1460" s="214"/>
      <c r="J1460" s="214"/>
      <c r="K1460" s="34"/>
      <c r="L1460" s="34"/>
      <c r="M1460" s="34"/>
      <c r="N1460" s="34"/>
      <c r="O1460" s="34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</row>
    <row r="1461" ht="15.75" customHeight="1">
      <c r="A1461" s="34"/>
      <c r="B1461" s="34"/>
      <c r="C1461" s="34"/>
      <c r="D1461" s="212"/>
      <c r="E1461" s="34"/>
      <c r="F1461" s="213"/>
      <c r="G1461" s="213"/>
      <c r="H1461" s="34"/>
      <c r="I1461" s="214"/>
      <c r="J1461" s="214"/>
      <c r="K1461" s="34"/>
      <c r="L1461" s="34"/>
      <c r="M1461" s="34"/>
      <c r="N1461" s="34"/>
      <c r="O1461" s="34"/>
      <c r="P1461" s="34"/>
      <c r="Q1461" s="34"/>
      <c r="R1461" s="34"/>
      <c r="S1461" s="34"/>
      <c r="T1461" s="34"/>
      <c r="U1461" s="34"/>
      <c r="V1461" s="34"/>
      <c r="W1461" s="34"/>
      <c r="X1461" s="34"/>
      <c r="Y1461" s="34"/>
      <c r="Z1461" s="34"/>
    </row>
    <row r="1462" ht="15.75" customHeight="1">
      <c r="A1462" s="34"/>
      <c r="B1462" s="34"/>
      <c r="C1462" s="34"/>
      <c r="D1462" s="212"/>
      <c r="E1462" s="34"/>
      <c r="F1462" s="213"/>
      <c r="G1462" s="213"/>
      <c r="H1462" s="34"/>
      <c r="I1462" s="214"/>
      <c r="J1462" s="214"/>
      <c r="K1462" s="34"/>
      <c r="L1462" s="34"/>
      <c r="M1462" s="34"/>
      <c r="N1462" s="34"/>
      <c r="O1462" s="34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</row>
    <row r="1463" ht="15.75" customHeight="1">
      <c r="A1463" s="34"/>
      <c r="B1463" s="34"/>
      <c r="C1463" s="34"/>
      <c r="D1463" s="212"/>
      <c r="E1463" s="34"/>
      <c r="F1463" s="213"/>
      <c r="G1463" s="213"/>
      <c r="H1463" s="34"/>
      <c r="I1463" s="214"/>
      <c r="J1463" s="214"/>
      <c r="K1463" s="34"/>
      <c r="L1463" s="34"/>
      <c r="M1463" s="34"/>
      <c r="N1463" s="34"/>
      <c r="O1463" s="34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</row>
    <row r="1464" ht="15.75" customHeight="1">
      <c r="A1464" s="34"/>
      <c r="B1464" s="34"/>
      <c r="C1464" s="34"/>
      <c r="D1464" s="212"/>
      <c r="E1464" s="34"/>
      <c r="F1464" s="213"/>
      <c r="G1464" s="213"/>
      <c r="H1464" s="34"/>
      <c r="I1464" s="214"/>
      <c r="J1464" s="214"/>
      <c r="K1464" s="34"/>
      <c r="L1464" s="34"/>
      <c r="M1464" s="34"/>
      <c r="N1464" s="34"/>
      <c r="O1464" s="34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</row>
    <row r="1465" ht="15.75" customHeight="1">
      <c r="A1465" s="34"/>
      <c r="B1465" s="34"/>
      <c r="C1465" s="34"/>
      <c r="D1465" s="212"/>
      <c r="E1465" s="34"/>
      <c r="F1465" s="213"/>
      <c r="G1465" s="213"/>
      <c r="H1465" s="34"/>
      <c r="I1465" s="214"/>
      <c r="J1465" s="214"/>
      <c r="K1465" s="34"/>
      <c r="L1465" s="34"/>
      <c r="M1465" s="34"/>
      <c r="N1465" s="34"/>
      <c r="O1465" s="34"/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</row>
    <row r="1466" ht="15.75" customHeight="1">
      <c r="A1466" s="34"/>
      <c r="B1466" s="34"/>
      <c r="C1466" s="34"/>
      <c r="D1466" s="212"/>
      <c r="E1466" s="34"/>
      <c r="F1466" s="213"/>
      <c r="G1466" s="213"/>
      <c r="H1466" s="34"/>
      <c r="I1466" s="214"/>
      <c r="J1466" s="214"/>
      <c r="K1466" s="34"/>
      <c r="L1466" s="34"/>
      <c r="M1466" s="34"/>
      <c r="N1466" s="34"/>
      <c r="O1466" s="34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</row>
    <row r="1467" ht="15.75" customHeight="1">
      <c r="A1467" s="34"/>
      <c r="B1467" s="34"/>
      <c r="C1467" s="34"/>
      <c r="D1467" s="212"/>
      <c r="E1467" s="34"/>
      <c r="F1467" s="213"/>
      <c r="G1467" s="213"/>
      <c r="H1467" s="34"/>
      <c r="I1467" s="214"/>
      <c r="J1467" s="21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</row>
    <row r="1468" ht="15.75" customHeight="1">
      <c r="A1468" s="34"/>
      <c r="B1468" s="34"/>
      <c r="C1468" s="34"/>
      <c r="D1468" s="212"/>
      <c r="E1468" s="34"/>
      <c r="F1468" s="213"/>
      <c r="G1468" s="213"/>
      <c r="H1468" s="34"/>
      <c r="I1468" s="214"/>
      <c r="J1468" s="214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</row>
    <row r="1469" ht="15.75" customHeight="1">
      <c r="A1469" s="34"/>
      <c r="B1469" s="34"/>
      <c r="C1469" s="34"/>
      <c r="D1469" s="212"/>
      <c r="E1469" s="34"/>
      <c r="F1469" s="213"/>
      <c r="G1469" s="213"/>
      <c r="H1469" s="34"/>
      <c r="I1469" s="214"/>
      <c r="J1469" s="214"/>
      <c r="K1469" s="34"/>
      <c r="L1469" s="34"/>
      <c r="M1469" s="34"/>
      <c r="N1469" s="34"/>
      <c r="O1469" s="34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</row>
    <row r="1470" ht="15.75" customHeight="1">
      <c r="A1470" s="34"/>
      <c r="B1470" s="34"/>
      <c r="C1470" s="34"/>
      <c r="D1470" s="212"/>
      <c r="E1470" s="34"/>
      <c r="F1470" s="213"/>
      <c r="G1470" s="213"/>
      <c r="H1470" s="34"/>
      <c r="I1470" s="214"/>
      <c r="J1470" s="214"/>
      <c r="K1470" s="34"/>
      <c r="L1470" s="34"/>
      <c r="M1470" s="34"/>
      <c r="N1470" s="34"/>
      <c r="O1470" s="34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</row>
    <row r="1471" ht="15.75" customHeight="1">
      <c r="A1471" s="34"/>
      <c r="B1471" s="34"/>
      <c r="C1471" s="34"/>
      <c r="D1471" s="212"/>
      <c r="E1471" s="34"/>
      <c r="F1471" s="213"/>
      <c r="G1471" s="213"/>
      <c r="H1471" s="34"/>
      <c r="I1471" s="214"/>
      <c r="J1471" s="214"/>
      <c r="K1471" s="34"/>
      <c r="L1471" s="34"/>
      <c r="M1471" s="34"/>
      <c r="N1471" s="34"/>
      <c r="O1471" s="34"/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</row>
    <row r="1472" ht="15.75" customHeight="1">
      <c r="A1472" s="34"/>
      <c r="B1472" s="34"/>
      <c r="C1472" s="34"/>
      <c r="D1472" s="212"/>
      <c r="E1472" s="34"/>
      <c r="F1472" s="213"/>
      <c r="G1472" s="213"/>
      <c r="H1472" s="34"/>
      <c r="I1472" s="214"/>
      <c r="J1472" s="21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</row>
    <row r="1473" ht="15.75" customHeight="1">
      <c r="A1473" s="34"/>
      <c r="B1473" s="34"/>
      <c r="C1473" s="34"/>
      <c r="D1473" s="212"/>
      <c r="E1473" s="34"/>
      <c r="F1473" s="213"/>
      <c r="G1473" s="213"/>
      <c r="H1473" s="34"/>
      <c r="I1473" s="214"/>
      <c r="J1473" s="214"/>
      <c r="K1473" s="34"/>
      <c r="L1473" s="34"/>
      <c r="M1473" s="34"/>
      <c r="N1473" s="34"/>
      <c r="O1473" s="34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</row>
    <row r="1474" ht="15.75" customHeight="1">
      <c r="A1474" s="34"/>
      <c r="B1474" s="34"/>
      <c r="C1474" s="34"/>
      <c r="D1474" s="212"/>
      <c r="E1474" s="34"/>
      <c r="F1474" s="213"/>
      <c r="G1474" s="213"/>
      <c r="H1474" s="34"/>
      <c r="I1474" s="214"/>
      <c r="J1474" s="214"/>
      <c r="K1474" s="34"/>
      <c r="L1474" s="34"/>
      <c r="M1474" s="34"/>
      <c r="N1474" s="34"/>
      <c r="O1474" s="34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</row>
    <row r="1475" ht="15.75" customHeight="1">
      <c r="A1475" s="34"/>
      <c r="B1475" s="34"/>
      <c r="C1475" s="34"/>
      <c r="D1475" s="212"/>
      <c r="E1475" s="34"/>
      <c r="F1475" s="213"/>
      <c r="G1475" s="213"/>
      <c r="H1475" s="34"/>
      <c r="I1475" s="214"/>
      <c r="J1475" s="214"/>
      <c r="K1475" s="34"/>
      <c r="L1475" s="34"/>
      <c r="M1475" s="34"/>
      <c r="N1475" s="34"/>
      <c r="O1475" s="34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</row>
    <row r="1476" ht="15.75" customHeight="1">
      <c r="A1476" s="34"/>
      <c r="B1476" s="34"/>
      <c r="C1476" s="34"/>
      <c r="D1476" s="212"/>
      <c r="E1476" s="34"/>
      <c r="F1476" s="213"/>
      <c r="G1476" s="213"/>
      <c r="H1476" s="34"/>
      <c r="I1476" s="214"/>
      <c r="J1476" s="214"/>
      <c r="K1476" s="34"/>
      <c r="L1476" s="34"/>
      <c r="M1476" s="34"/>
      <c r="N1476" s="34"/>
      <c r="O1476" s="34"/>
      <c r="P1476" s="34"/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</row>
    <row r="1477" ht="15.75" customHeight="1">
      <c r="A1477" s="34"/>
      <c r="B1477" s="34"/>
      <c r="C1477" s="34"/>
      <c r="D1477" s="212"/>
      <c r="E1477" s="34"/>
      <c r="F1477" s="213"/>
      <c r="G1477" s="213"/>
      <c r="H1477" s="34"/>
      <c r="I1477" s="214"/>
      <c r="J1477" s="214"/>
      <c r="K1477" s="34"/>
      <c r="L1477" s="34"/>
      <c r="M1477" s="34"/>
      <c r="N1477" s="34"/>
      <c r="O1477" s="34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</row>
    <row r="1478" ht="15.75" customHeight="1">
      <c r="A1478" s="34"/>
      <c r="B1478" s="34"/>
      <c r="C1478" s="34"/>
      <c r="D1478" s="212"/>
      <c r="E1478" s="34"/>
      <c r="F1478" s="213"/>
      <c r="G1478" s="213"/>
      <c r="H1478" s="34"/>
      <c r="I1478" s="214"/>
      <c r="J1478" s="214"/>
      <c r="K1478" s="34"/>
      <c r="L1478" s="34"/>
      <c r="M1478" s="34"/>
      <c r="N1478" s="34"/>
      <c r="O1478" s="34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</row>
    <row r="1479" ht="15.75" customHeight="1">
      <c r="A1479" s="34"/>
      <c r="B1479" s="34"/>
      <c r="C1479" s="34"/>
      <c r="D1479" s="212"/>
      <c r="E1479" s="34"/>
      <c r="F1479" s="213"/>
      <c r="G1479" s="213"/>
      <c r="H1479" s="34"/>
      <c r="I1479" s="214"/>
      <c r="J1479" s="214"/>
      <c r="K1479" s="34"/>
      <c r="L1479" s="34"/>
      <c r="M1479" s="34"/>
      <c r="N1479" s="34"/>
      <c r="O1479" s="34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</row>
    <row r="1480" ht="15.75" customHeight="1">
      <c r="A1480" s="34"/>
      <c r="B1480" s="34"/>
      <c r="C1480" s="34"/>
      <c r="D1480" s="212"/>
      <c r="E1480" s="34"/>
      <c r="F1480" s="213"/>
      <c r="G1480" s="213"/>
      <c r="H1480" s="34"/>
      <c r="I1480" s="214"/>
      <c r="J1480" s="214"/>
      <c r="K1480" s="34"/>
      <c r="L1480" s="34"/>
      <c r="M1480" s="34"/>
      <c r="N1480" s="34"/>
      <c r="O1480" s="34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</row>
    <row r="1481" ht="15.75" customHeight="1">
      <c r="A1481" s="34"/>
      <c r="B1481" s="34"/>
      <c r="C1481" s="34"/>
      <c r="D1481" s="212"/>
      <c r="E1481" s="34"/>
      <c r="F1481" s="213"/>
      <c r="G1481" s="213"/>
      <c r="H1481" s="34"/>
      <c r="I1481" s="214"/>
      <c r="J1481" s="214"/>
      <c r="K1481" s="34"/>
      <c r="L1481" s="34"/>
      <c r="M1481" s="34"/>
      <c r="N1481" s="34"/>
      <c r="O1481" s="34"/>
      <c r="P1481" s="34"/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</row>
    <row r="1482" ht="15.75" customHeight="1">
      <c r="A1482" s="34"/>
      <c r="B1482" s="34"/>
      <c r="C1482" s="34"/>
      <c r="D1482" s="212"/>
      <c r="E1482" s="34"/>
      <c r="F1482" s="213"/>
      <c r="G1482" s="213"/>
      <c r="H1482" s="34"/>
      <c r="I1482" s="214"/>
      <c r="J1482" s="214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</row>
    <row r="1483" ht="15.75" customHeight="1">
      <c r="A1483" s="34"/>
      <c r="B1483" s="34"/>
      <c r="C1483" s="34"/>
      <c r="D1483" s="212"/>
      <c r="E1483" s="34"/>
      <c r="F1483" s="213"/>
      <c r="G1483" s="213"/>
      <c r="H1483" s="34"/>
      <c r="I1483" s="214"/>
      <c r="J1483" s="214"/>
      <c r="K1483" s="34"/>
      <c r="L1483" s="34"/>
      <c r="M1483" s="34"/>
      <c r="N1483" s="34"/>
      <c r="O1483" s="34"/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</row>
    <row r="1484" ht="15.75" customHeight="1">
      <c r="A1484" s="34"/>
      <c r="B1484" s="34"/>
      <c r="C1484" s="34"/>
      <c r="D1484" s="212"/>
      <c r="E1484" s="34"/>
      <c r="F1484" s="213"/>
      <c r="G1484" s="213"/>
      <c r="H1484" s="34"/>
      <c r="I1484" s="214"/>
      <c r="J1484" s="214"/>
      <c r="K1484" s="34"/>
      <c r="L1484" s="34"/>
      <c r="M1484" s="34"/>
      <c r="N1484" s="34"/>
      <c r="O1484" s="34"/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</row>
    <row r="1485" ht="15.75" customHeight="1">
      <c r="A1485" s="34"/>
      <c r="B1485" s="34"/>
      <c r="C1485" s="34"/>
      <c r="D1485" s="212"/>
      <c r="E1485" s="34"/>
      <c r="F1485" s="213"/>
      <c r="G1485" s="213"/>
      <c r="H1485" s="34"/>
      <c r="I1485" s="214"/>
      <c r="J1485" s="214"/>
      <c r="K1485" s="34"/>
      <c r="L1485" s="34"/>
      <c r="M1485" s="34"/>
      <c r="N1485" s="34"/>
      <c r="O1485" s="34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</row>
    <row r="1486" ht="15.75" customHeight="1">
      <c r="A1486" s="34"/>
      <c r="B1486" s="34"/>
      <c r="C1486" s="34"/>
      <c r="D1486" s="212"/>
      <c r="E1486" s="34"/>
      <c r="F1486" s="213"/>
      <c r="G1486" s="213"/>
      <c r="H1486" s="34"/>
      <c r="I1486" s="214"/>
      <c r="J1486" s="214"/>
      <c r="K1486" s="34"/>
      <c r="L1486" s="34"/>
      <c r="M1486" s="34"/>
      <c r="N1486" s="34"/>
      <c r="O1486" s="34"/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</row>
    <row r="1487" ht="15.75" customHeight="1">
      <c r="A1487" s="34"/>
      <c r="B1487" s="34"/>
      <c r="C1487" s="34"/>
      <c r="D1487" s="212"/>
      <c r="E1487" s="34"/>
      <c r="F1487" s="213"/>
      <c r="G1487" s="213"/>
      <c r="H1487" s="34"/>
      <c r="I1487" s="214"/>
      <c r="J1487" s="214"/>
      <c r="K1487" s="34"/>
      <c r="L1487" s="34"/>
      <c r="M1487" s="34"/>
      <c r="N1487" s="34"/>
      <c r="O1487" s="34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</row>
    <row r="1488" ht="15.75" customHeight="1">
      <c r="A1488" s="34"/>
      <c r="B1488" s="34"/>
      <c r="C1488" s="34"/>
      <c r="D1488" s="212"/>
      <c r="E1488" s="34"/>
      <c r="F1488" s="213"/>
      <c r="G1488" s="213"/>
      <c r="H1488" s="34"/>
      <c r="I1488" s="214"/>
      <c r="J1488" s="214"/>
      <c r="K1488" s="34"/>
      <c r="L1488" s="34"/>
      <c r="M1488" s="34"/>
      <c r="N1488" s="34"/>
      <c r="O1488" s="34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</row>
    <row r="1489" ht="15.75" customHeight="1">
      <c r="A1489" s="34"/>
      <c r="B1489" s="34"/>
      <c r="C1489" s="34"/>
      <c r="D1489" s="212"/>
      <c r="E1489" s="34"/>
      <c r="F1489" s="213"/>
      <c r="G1489" s="213"/>
      <c r="H1489" s="34"/>
      <c r="I1489" s="214"/>
      <c r="J1489" s="214"/>
      <c r="K1489" s="34"/>
      <c r="L1489" s="34"/>
      <c r="M1489" s="34"/>
      <c r="N1489" s="34"/>
      <c r="O1489" s="34"/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</row>
    <row r="1490" ht="15.75" customHeight="1">
      <c r="A1490" s="34"/>
      <c r="B1490" s="34"/>
      <c r="C1490" s="34"/>
      <c r="D1490" s="212"/>
      <c r="E1490" s="34"/>
      <c r="F1490" s="213"/>
      <c r="G1490" s="213"/>
      <c r="H1490" s="34"/>
      <c r="I1490" s="214"/>
      <c r="J1490" s="214"/>
      <c r="K1490" s="34"/>
      <c r="L1490" s="34"/>
      <c r="M1490" s="34"/>
      <c r="N1490" s="34"/>
      <c r="O1490" s="34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</row>
    <row r="1491" ht="15.75" customHeight="1">
      <c r="A1491" s="34"/>
      <c r="B1491" s="34"/>
      <c r="C1491" s="34"/>
      <c r="D1491" s="212"/>
      <c r="E1491" s="34"/>
      <c r="F1491" s="213"/>
      <c r="G1491" s="213"/>
      <c r="H1491" s="34"/>
      <c r="I1491" s="214"/>
      <c r="J1491" s="214"/>
      <c r="K1491" s="34"/>
      <c r="L1491" s="34"/>
      <c r="M1491" s="34"/>
      <c r="N1491" s="34"/>
      <c r="O1491" s="34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</row>
    <row r="1492" ht="15.75" customHeight="1">
      <c r="A1492" s="34"/>
      <c r="B1492" s="34"/>
      <c r="C1492" s="34"/>
      <c r="D1492" s="212"/>
      <c r="E1492" s="34"/>
      <c r="F1492" s="213"/>
      <c r="G1492" s="213"/>
      <c r="H1492" s="34"/>
      <c r="I1492" s="214"/>
      <c r="J1492" s="214"/>
      <c r="K1492" s="34"/>
      <c r="L1492" s="34"/>
      <c r="M1492" s="34"/>
      <c r="N1492" s="34"/>
      <c r="O1492" s="34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</row>
    <row r="1493" ht="15.75" customHeight="1">
      <c r="A1493" s="34"/>
      <c r="B1493" s="34"/>
      <c r="C1493" s="34"/>
      <c r="D1493" s="212"/>
      <c r="E1493" s="34"/>
      <c r="F1493" s="213"/>
      <c r="G1493" s="213"/>
      <c r="H1493" s="34"/>
      <c r="I1493" s="214"/>
      <c r="J1493" s="214"/>
      <c r="K1493" s="34"/>
      <c r="L1493" s="34"/>
      <c r="M1493" s="34"/>
      <c r="N1493" s="34"/>
      <c r="O1493" s="34"/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</row>
    <row r="1494" ht="15.75" customHeight="1">
      <c r="A1494" s="34"/>
      <c r="B1494" s="34"/>
      <c r="C1494" s="34"/>
      <c r="D1494" s="212"/>
      <c r="E1494" s="34"/>
      <c r="F1494" s="213"/>
      <c r="G1494" s="213"/>
      <c r="H1494" s="34"/>
      <c r="I1494" s="214"/>
      <c r="J1494" s="214"/>
      <c r="K1494" s="34"/>
      <c r="L1494" s="34"/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</row>
    <row r="1495" ht="15.75" customHeight="1">
      <c r="A1495" s="34"/>
      <c r="B1495" s="34"/>
      <c r="C1495" s="34"/>
      <c r="D1495" s="212"/>
      <c r="E1495" s="34"/>
      <c r="F1495" s="213"/>
      <c r="G1495" s="213"/>
      <c r="H1495" s="34"/>
      <c r="I1495" s="214"/>
      <c r="J1495" s="214"/>
      <c r="K1495" s="34"/>
      <c r="L1495" s="34"/>
      <c r="M1495" s="34"/>
      <c r="N1495" s="34"/>
      <c r="O1495" s="34"/>
      <c r="P1495" s="34"/>
      <c r="Q1495" s="34"/>
      <c r="R1495" s="34"/>
      <c r="S1495" s="34"/>
      <c r="T1495" s="34"/>
      <c r="U1495" s="34"/>
      <c r="V1495" s="34"/>
      <c r="W1495" s="34"/>
      <c r="X1495" s="34"/>
      <c r="Y1495" s="34"/>
      <c r="Z1495" s="34"/>
    </row>
    <row r="1496" ht="15.75" customHeight="1">
      <c r="A1496" s="34"/>
      <c r="B1496" s="34"/>
      <c r="C1496" s="34"/>
      <c r="D1496" s="212"/>
      <c r="E1496" s="34"/>
      <c r="F1496" s="213"/>
      <c r="G1496" s="213"/>
      <c r="H1496" s="34"/>
      <c r="I1496" s="214"/>
      <c r="J1496" s="214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</row>
    <row r="1497" ht="15.75" customHeight="1">
      <c r="A1497" s="34"/>
      <c r="B1497" s="34"/>
      <c r="C1497" s="34"/>
      <c r="D1497" s="212"/>
      <c r="E1497" s="34"/>
      <c r="F1497" s="213"/>
      <c r="G1497" s="213"/>
      <c r="H1497" s="34"/>
      <c r="I1497" s="214"/>
      <c r="J1497" s="21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</row>
    <row r="1498" ht="15.75" customHeight="1">
      <c r="A1498" s="34"/>
      <c r="B1498" s="34"/>
      <c r="C1498" s="34"/>
      <c r="D1498" s="212"/>
      <c r="E1498" s="34"/>
      <c r="F1498" s="213"/>
      <c r="G1498" s="213"/>
      <c r="H1498" s="34"/>
      <c r="I1498" s="214"/>
      <c r="J1498" s="214"/>
      <c r="K1498" s="34"/>
      <c r="L1498" s="34"/>
      <c r="M1498" s="34"/>
      <c r="N1498" s="34"/>
      <c r="O1498" s="34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</row>
    <row r="1499" ht="15.75" customHeight="1">
      <c r="A1499" s="34"/>
      <c r="B1499" s="34"/>
      <c r="C1499" s="34"/>
      <c r="D1499" s="212"/>
      <c r="E1499" s="34"/>
      <c r="F1499" s="213"/>
      <c r="G1499" s="213"/>
      <c r="H1499" s="34"/>
      <c r="I1499" s="214"/>
      <c r="J1499" s="214"/>
      <c r="K1499" s="34"/>
      <c r="L1499" s="34"/>
      <c r="M1499" s="34"/>
      <c r="N1499" s="34"/>
      <c r="O1499" s="34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</row>
    <row r="1500" ht="15.75" customHeight="1">
      <c r="A1500" s="34"/>
      <c r="B1500" s="34"/>
      <c r="C1500" s="34"/>
      <c r="D1500" s="212"/>
      <c r="E1500" s="34"/>
      <c r="F1500" s="213"/>
      <c r="G1500" s="213"/>
      <c r="H1500" s="34"/>
      <c r="I1500" s="214"/>
      <c r="J1500" s="214"/>
      <c r="K1500" s="34"/>
      <c r="L1500" s="34"/>
      <c r="M1500" s="34"/>
      <c r="N1500" s="34"/>
      <c r="O1500" s="34"/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</row>
    <row r="1501" ht="15.75" customHeight="1">
      <c r="A1501" s="34"/>
      <c r="B1501" s="34"/>
      <c r="C1501" s="34"/>
      <c r="D1501" s="212"/>
      <c r="E1501" s="34"/>
      <c r="F1501" s="213"/>
      <c r="G1501" s="213"/>
      <c r="H1501" s="34"/>
      <c r="I1501" s="214"/>
      <c r="J1501" s="21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</row>
    <row r="1502" ht="15.75" customHeight="1">
      <c r="A1502" s="34"/>
      <c r="B1502" s="34"/>
      <c r="C1502" s="34"/>
      <c r="D1502" s="212"/>
      <c r="E1502" s="34"/>
      <c r="F1502" s="213"/>
      <c r="G1502" s="213"/>
      <c r="H1502" s="34"/>
      <c r="I1502" s="214"/>
      <c r="J1502" s="214"/>
      <c r="K1502" s="34"/>
      <c r="L1502" s="34"/>
      <c r="M1502" s="34"/>
      <c r="N1502" s="34"/>
      <c r="O1502" s="34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</row>
    <row r="1503" ht="15.75" customHeight="1">
      <c r="A1503" s="34"/>
      <c r="B1503" s="34"/>
      <c r="C1503" s="34"/>
      <c r="D1503" s="212"/>
      <c r="E1503" s="34"/>
      <c r="F1503" s="213"/>
      <c r="G1503" s="213"/>
      <c r="H1503" s="34"/>
      <c r="I1503" s="214"/>
      <c r="J1503" s="214"/>
      <c r="K1503" s="34"/>
      <c r="L1503" s="34"/>
      <c r="M1503" s="34"/>
      <c r="N1503" s="34"/>
      <c r="O1503" s="34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</row>
    <row r="1504" ht="15.75" customHeight="1">
      <c r="A1504" s="34"/>
      <c r="B1504" s="34"/>
      <c r="C1504" s="34"/>
      <c r="D1504" s="212"/>
      <c r="E1504" s="34"/>
      <c r="F1504" s="213"/>
      <c r="G1504" s="213"/>
      <c r="H1504" s="34"/>
      <c r="I1504" s="214"/>
      <c r="J1504" s="214"/>
      <c r="K1504" s="34"/>
      <c r="L1504" s="34"/>
      <c r="M1504" s="34"/>
      <c r="N1504" s="34"/>
      <c r="O1504" s="34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</row>
    <row r="1505" ht="15.75" customHeight="1">
      <c r="A1505" s="34"/>
      <c r="B1505" s="34"/>
      <c r="C1505" s="34"/>
      <c r="D1505" s="212"/>
      <c r="E1505" s="34"/>
      <c r="F1505" s="213"/>
      <c r="G1505" s="213"/>
      <c r="H1505" s="34"/>
      <c r="I1505" s="214"/>
      <c r="J1505" s="214"/>
      <c r="K1505" s="34"/>
      <c r="L1505" s="34"/>
      <c r="M1505" s="34"/>
      <c r="N1505" s="34"/>
      <c r="O1505" s="34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</row>
    <row r="1506" ht="15.75" customHeight="1">
      <c r="A1506" s="34"/>
      <c r="B1506" s="34"/>
      <c r="C1506" s="34"/>
      <c r="D1506" s="212"/>
      <c r="E1506" s="34"/>
      <c r="F1506" s="213"/>
      <c r="G1506" s="213"/>
      <c r="H1506" s="34"/>
      <c r="I1506" s="214"/>
      <c r="J1506" s="214"/>
      <c r="K1506" s="34"/>
      <c r="L1506" s="34"/>
      <c r="M1506" s="34"/>
      <c r="N1506" s="34"/>
      <c r="O1506" s="34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</row>
    <row r="1507" ht="15.75" customHeight="1">
      <c r="A1507" s="34"/>
      <c r="B1507" s="34"/>
      <c r="C1507" s="34"/>
      <c r="D1507" s="212"/>
      <c r="E1507" s="34"/>
      <c r="F1507" s="213"/>
      <c r="G1507" s="213"/>
      <c r="H1507" s="34"/>
      <c r="I1507" s="214"/>
      <c r="J1507" s="214"/>
      <c r="K1507" s="34"/>
      <c r="L1507" s="34"/>
      <c r="M1507" s="34"/>
      <c r="N1507" s="34"/>
      <c r="O1507" s="34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</row>
    <row r="1508" ht="15.75" customHeight="1">
      <c r="A1508" s="34"/>
      <c r="B1508" s="34"/>
      <c r="C1508" s="34"/>
      <c r="D1508" s="212"/>
      <c r="E1508" s="34"/>
      <c r="F1508" s="213"/>
      <c r="G1508" s="213"/>
      <c r="H1508" s="34"/>
      <c r="I1508" s="214"/>
      <c r="J1508" s="21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</row>
    <row r="1509" ht="15.75" customHeight="1">
      <c r="A1509" s="34"/>
      <c r="B1509" s="34"/>
      <c r="C1509" s="34"/>
      <c r="D1509" s="212"/>
      <c r="E1509" s="34"/>
      <c r="F1509" s="213"/>
      <c r="G1509" s="213"/>
      <c r="H1509" s="34"/>
      <c r="I1509" s="214"/>
      <c r="J1509" s="214"/>
      <c r="K1509" s="34"/>
      <c r="L1509" s="34"/>
      <c r="M1509" s="34"/>
      <c r="N1509" s="34"/>
      <c r="O1509" s="34"/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</row>
    <row r="1510" ht="15.75" customHeight="1">
      <c r="A1510" s="34"/>
      <c r="B1510" s="34"/>
      <c r="C1510" s="34"/>
      <c r="D1510" s="212"/>
      <c r="E1510" s="34"/>
      <c r="F1510" s="213"/>
      <c r="G1510" s="213"/>
      <c r="H1510" s="34"/>
      <c r="I1510" s="214"/>
      <c r="J1510" s="214"/>
      <c r="K1510" s="34"/>
      <c r="L1510" s="34"/>
      <c r="M1510" s="34"/>
      <c r="N1510" s="34"/>
      <c r="O1510" s="34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</row>
    <row r="1511" ht="15.75" customHeight="1">
      <c r="A1511" s="34"/>
      <c r="B1511" s="34"/>
      <c r="C1511" s="34"/>
      <c r="D1511" s="212"/>
      <c r="E1511" s="34"/>
      <c r="F1511" s="213"/>
      <c r="G1511" s="213"/>
      <c r="H1511" s="34"/>
      <c r="I1511" s="214"/>
      <c r="J1511" s="214"/>
      <c r="K1511" s="34"/>
      <c r="L1511" s="34"/>
      <c r="M1511" s="34"/>
      <c r="N1511" s="34"/>
      <c r="O1511" s="34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</row>
    <row r="1512" ht="15.75" customHeight="1">
      <c r="A1512" s="34"/>
      <c r="B1512" s="34"/>
      <c r="C1512" s="34"/>
      <c r="D1512" s="212"/>
      <c r="E1512" s="34"/>
      <c r="F1512" s="213"/>
      <c r="G1512" s="213"/>
      <c r="H1512" s="34"/>
      <c r="I1512" s="214"/>
      <c r="J1512" s="214"/>
      <c r="K1512" s="34"/>
      <c r="L1512" s="34"/>
      <c r="M1512" s="34"/>
      <c r="N1512" s="34"/>
      <c r="O1512" s="34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</row>
    <row r="1513" ht="15.75" customHeight="1">
      <c r="A1513" s="34"/>
      <c r="B1513" s="34"/>
      <c r="C1513" s="34"/>
      <c r="D1513" s="212"/>
      <c r="E1513" s="34"/>
      <c r="F1513" s="213"/>
      <c r="G1513" s="213"/>
      <c r="H1513" s="34"/>
      <c r="I1513" s="214"/>
      <c r="J1513" s="214"/>
      <c r="K1513" s="34"/>
      <c r="L1513" s="34"/>
      <c r="M1513" s="34"/>
      <c r="N1513" s="34"/>
      <c r="O1513" s="34"/>
      <c r="P1513" s="34"/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</row>
    <row r="1514" ht="15.75" customHeight="1">
      <c r="A1514" s="34"/>
      <c r="B1514" s="34"/>
      <c r="C1514" s="34"/>
      <c r="D1514" s="212"/>
      <c r="E1514" s="34"/>
      <c r="F1514" s="213"/>
      <c r="G1514" s="213"/>
      <c r="H1514" s="34"/>
      <c r="I1514" s="214"/>
      <c r="J1514" s="21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</row>
    <row r="1515" ht="15.75" customHeight="1">
      <c r="A1515" s="34"/>
      <c r="B1515" s="34"/>
      <c r="C1515" s="34"/>
      <c r="D1515" s="212"/>
      <c r="E1515" s="34"/>
      <c r="F1515" s="213"/>
      <c r="G1515" s="213"/>
      <c r="H1515" s="34"/>
      <c r="I1515" s="214"/>
      <c r="J1515" s="214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</row>
    <row r="1516" ht="15.75" customHeight="1">
      <c r="A1516" s="34"/>
      <c r="B1516" s="34"/>
      <c r="C1516" s="34"/>
      <c r="D1516" s="212"/>
      <c r="E1516" s="34"/>
      <c r="F1516" s="213"/>
      <c r="G1516" s="213"/>
      <c r="H1516" s="34"/>
      <c r="I1516" s="214"/>
      <c r="J1516" s="214"/>
      <c r="K1516" s="34"/>
      <c r="L1516" s="34"/>
      <c r="M1516" s="34"/>
      <c r="N1516" s="34"/>
      <c r="O1516" s="34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</row>
    <row r="1517" ht="15.75" customHeight="1">
      <c r="A1517" s="34"/>
      <c r="B1517" s="34"/>
      <c r="C1517" s="34"/>
      <c r="D1517" s="212"/>
      <c r="E1517" s="34"/>
      <c r="F1517" s="213"/>
      <c r="G1517" s="213"/>
      <c r="H1517" s="34"/>
      <c r="I1517" s="214"/>
      <c r="J1517" s="214"/>
      <c r="K1517" s="34"/>
      <c r="L1517" s="34"/>
      <c r="M1517" s="34"/>
      <c r="N1517" s="34"/>
      <c r="O1517" s="34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</row>
    <row r="1518" ht="15.75" customHeight="1">
      <c r="A1518" s="34"/>
      <c r="B1518" s="34"/>
      <c r="C1518" s="34"/>
      <c r="D1518" s="212"/>
      <c r="E1518" s="34"/>
      <c r="F1518" s="213"/>
      <c r="G1518" s="213"/>
      <c r="H1518" s="34"/>
      <c r="I1518" s="214"/>
      <c r="J1518" s="214"/>
      <c r="K1518" s="34"/>
      <c r="L1518" s="34"/>
      <c r="M1518" s="34"/>
      <c r="N1518" s="34"/>
      <c r="O1518" s="34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</row>
    <row r="1519" ht="15.75" customHeight="1">
      <c r="A1519" s="34"/>
      <c r="B1519" s="34"/>
      <c r="C1519" s="34"/>
      <c r="D1519" s="212"/>
      <c r="E1519" s="34"/>
      <c r="F1519" s="213"/>
      <c r="G1519" s="213"/>
      <c r="H1519" s="34"/>
      <c r="I1519" s="214"/>
      <c r="J1519" s="21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</row>
    <row r="1520" ht="15.75" customHeight="1">
      <c r="A1520" s="34"/>
      <c r="B1520" s="34"/>
      <c r="C1520" s="34"/>
      <c r="D1520" s="212"/>
      <c r="E1520" s="34"/>
      <c r="F1520" s="213"/>
      <c r="G1520" s="213"/>
      <c r="H1520" s="34"/>
      <c r="I1520" s="214"/>
      <c r="J1520" s="214"/>
      <c r="K1520" s="34"/>
      <c r="L1520" s="34"/>
      <c r="M1520" s="34"/>
      <c r="N1520" s="34"/>
      <c r="O1520" s="34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</row>
    <row r="1521" ht="15.75" customHeight="1">
      <c r="A1521" s="34"/>
      <c r="B1521" s="34"/>
      <c r="C1521" s="34"/>
      <c r="D1521" s="212"/>
      <c r="E1521" s="34"/>
      <c r="F1521" s="213"/>
      <c r="G1521" s="213"/>
      <c r="H1521" s="34"/>
      <c r="I1521" s="214"/>
      <c r="J1521" s="214"/>
      <c r="K1521" s="34"/>
      <c r="L1521" s="34"/>
      <c r="M1521" s="34"/>
      <c r="N1521" s="34"/>
      <c r="O1521" s="34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</row>
    <row r="1522" ht="15.75" customHeight="1">
      <c r="A1522" s="34"/>
      <c r="B1522" s="34"/>
      <c r="C1522" s="34"/>
      <c r="D1522" s="212"/>
      <c r="E1522" s="34"/>
      <c r="F1522" s="213"/>
      <c r="G1522" s="213"/>
      <c r="H1522" s="34"/>
      <c r="I1522" s="214"/>
      <c r="J1522" s="214"/>
      <c r="K1522" s="34"/>
      <c r="L1522" s="34"/>
      <c r="M1522" s="34"/>
      <c r="N1522" s="34"/>
      <c r="O1522" s="34"/>
      <c r="P1522" s="34"/>
      <c r="Q1522" s="34"/>
      <c r="R1522" s="34"/>
      <c r="S1522" s="34"/>
      <c r="T1522" s="34"/>
      <c r="U1522" s="34"/>
      <c r="V1522" s="34"/>
      <c r="W1522" s="34"/>
      <c r="X1522" s="34"/>
      <c r="Y1522" s="34"/>
      <c r="Z1522" s="34"/>
    </row>
    <row r="1523" ht="15.75" customHeight="1">
      <c r="A1523" s="34"/>
      <c r="B1523" s="34"/>
      <c r="C1523" s="34"/>
      <c r="D1523" s="212"/>
      <c r="E1523" s="34"/>
      <c r="F1523" s="213"/>
      <c r="G1523" s="213"/>
      <c r="H1523" s="34"/>
      <c r="I1523" s="214"/>
      <c r="J1523" s="214"/>
      <c r="K1523" s="34"/>
      <c r="L1523" s="34"/>
      <c r="M1523" s="34"/>
      <c r="N1523" s="34"/>
      <c r="O1523" s="34"/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</row>
    <row r="1524" ht="15.75" customHeight="1">
      <c r="A1524" s="34"/>
      <c r="B1524" s="34"/>
      <c r="C1524" s="34"/>
      <c r="D1524" s="212"/>
      <c r="E1524" s="34"/>
      <c r="F1524" s="213"/>
      <c r="G1524" s="213"/>
      <c r="H1524" s="34"/>
      <c r="I1524" s="214"/>
      <c r="J1524" s="214"/>
      <c r="K1524" s="34"/>
      <c r="L1524" s="34"/>
      <c r="M1524" s="34"/>
      <c r="N1524" s="34"/>
      <c r="O1524" s="34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</row>
    <row r="1525" ht="15.75" customHeight="1">
      <c r="A1525" s="34"/>
      <c r="B1525" s="34"/>
      <c r="C1525" s="34"/>
      <c r="D1525" s="212"/>
      <c r="E1525" s="34"/>
      <c r="F1525" s="213"/>
      <c r="G1525" s="213"/>
      <c r="H1525" s="34"/>
      <c r="I1525" s="214"/>
      <c r="J1525" s="214"/>
      <c r="K1525" s="34"/>
      <c r="L1525" s="34"/>
      <c r="M1525" s="34"/>
      <c r="N1525" s="34"/>
      <c r="O1525" s="34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</row>
    <row r="1526" ht="15.75" customHeight="1">
      <c r="A1526" s="34"/>
      <c r="B1526" s="34"/>
      <c r="C1526" s="34"/>
      <c r="D1526" s="212"/>
      <c r="E1526" s="34"/>
      <c r="F1526" s="213"/>
      <c r="G1526" s="213"/>
      <c r="H1526" s="34"/>
      <c r="I1526" s="214"/>
      <c r="J1526" s="214"/>
      <c r="K1526" s="34"/>
      <c r="L1526" s="34"/>
      <c r="M1526" s="34"/>
      <c r="N1526" s="34"/>
      <c r="O1526" s="34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</row>
    <row r="1527" ht="15.75" customHeight="1">
      <c r="A1527" s="34"/>
      <c r="B1527" s="34"/>
      <c r="C1527" s="34"/>
      <c r="D1527" s="212"/>
      <c r="E1527" s="34"/>
      <c r="F1527" s="213"/>
      <c r="G1527" s="213"/>
      <c r="H1527" s="34"/>
      <c r="I1527" s="214"/>
      <c r="J1527" s="214"/>
      <c r="K1527" s="34"/>
      <c r="L1527" s="34"/>
      <c r="M1527" s="34"/>
      <c r="N1527" s="34"/>
      <c r="O1527" s="34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</row>
    <row r="1528" ht="15.75" customHeight="1">
      <c r="A1528" s="34"/>
      <c r="B1528" s="34"/>
      <c r="C1528" s="34"/>
      <c r="D1528" s="212"/>
      <c r="E1528" s="34"/>
      <c r="F1528" s="213"/>
      <c r="G1528" s="213"/>
      <c r="H1528" s="34"/>
      <c r="I1528" s="214"/>
      <c r="J1528" s="214"/>
      <c r="K1528" s="34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</row>
    <row r="1529" ht="15.75" customHeight="1">
      <c r="A1529" s="34"/>
      <c r="B1529" s="34"/>
      <c r="C1529" s="34"/>
      <c r="D1529" s="212"/>
      <c r="E1529" s="34"/>
      <c r="F1529" s="213"/>
      <c r="G1529" s="213"/>
      <c r="H1529" s="34"/>
      <c r="I1529" s="214"/>
      <c r="J1529" s="214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</row>
    <row r="1530" ht="15.75" customHeight="1">
      <c r="A1530" s="34"/>
      <c r="B1530" s="34"/>
      <c r="C1530" s="34"/>
      <c r="D1530" s="212"/>
      <c r="E1530" s="34"/>
      <c r="F1530" s="213"/>
      <c r="G1530" s="213"/>
      <c r="H1530" s="34"/>
      <c r="I1530" s="214"/>
      <c r="J1530" s="214"/>
      <c r="K1530" s="34"/>
      <c r="L1530" s="34"/>
      <c r="M1530" s="34"/>
      <c r="N1530" s="34"/>
      <c r="O1530" s="34"/>
      <c r="P1530" s="34"/>
      <c r="Q1530" s="34"/>
      <c r="R1530" s="34"/>
      <c r="S1530" s="34"/>
      <c r="T1530" s="34"/>
      <c r="U1530" s="34"/>
      <c r="V1530" s="34"/>
      <c r="W1530" s="34"/>
      <c r="X1530" s="34"/>
      <c r="Y1530" s="34"/>
      <c r="Z1530" s="34"/>
    </row>
    <row r="1531" ht="15.75" customHeight="1">
      <c r="A1531" s="34"/>
      <c r="B1531" s="34"/>
      <c r="C1531" s="34"/>
      <c r="D1531" s="212"/>
      <c r="E1531" s="34"/>
      <c r="F1531" s="213"/>
      <c r="G1531" s="213"/>
      <c r="H1531" s="34"/>
      <c r="I1531" s="214"/>
      <c r="J1531" s="214"/>
      <c r="K1531" s="34"/>
      <c r="L1531" s="34"/>
      <c r="M1531" s="34"/>
      <c r="N1531" s="34"/>
      <c r="O1531" s="34"/>
      <c r="P1531" s="34"/>
      <c r="Q1531" s="34"/>
      <c r="R1531" s="34"/>
      <c r="S1531" s="34"/>
      <c r="T1531" s="34"/>
      <c r="U1531" s="34"/>
      <c r="V1531" s="34"/>
      <c r="W1531" s="34"/>
      <c r="X1531" s="34"/>
      <c r="Y1531" s="34"/>
      <c r="Z1531" s="34"/>
    </row>
    <row r="1532" ht="15.75" customHeight="1">
      <c r="A1532" s="34"/>
      <c r="B1532" s="34"/>
      <c r="C1532" s="34"/>
      <c r="D1532" s="212"/>
      <c r="E1532" s="34"/>
      <c r="F1532" s="213"/>
      <c r="G1532" s="213"/>
      <c r="H1532" s="34"/>
      <c r="I1532" s="214"/>
      <c r="J1532" s="214"/>
      <c r="K1532" s="34"/>
      <c r="L1532" s="34"/>
      <c r="M1532" s="34"/>
      <c r="N1532" s="34"/>
      <c r="O1532" s="34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</row>
    <row r="1533" ht="15.75" customHeight="1">
      <c r="A1533" s="34"/>
      <c r="B1533" s="34"/>
      <c r="C1533" s="34"/>
      <c r="D1533" s="212"/>
      <c r="E1533" s="34"/>
      <c r="F1533" s="213"/>
      <c r="G1533" s="213"/>
      <c r="H1533" s="34"/>
      <c r="I1533" s="214"/>
      <c r="J1533" s="214"/>
      <c r="K1533" s="34"/>
      <c r="L1533" s="34"/>
      <c r="M1533" s="34"/>
      <c r="N1533" s="34"/>
      <c r="O1533" s="34"/>
      <c r="P1533" s="34"/>
      <c r="Q1533" s="34"/>
      <c r="R1533" s="34"/>
      <c r="S1533" s="34"/>
      <c r="T1533" s="34"/>
      <c r="U1533" s="34"/>
      <c r="V1533" s="34"/>
      <c r="W1533" s="34"/>
      <c r="X1533" s="34"/>
      <c r="Y1533" s="34"/>
      <c r="Z1533" s="34"/>
    </row>
    <row r="1534" ht="15.75" customHeight="1">
      <c r="A1534" s="34"/>
      <c r="B1534" s="34"/>
      <c r="C1534" s="34"/>
      <c r="D1534" s="212"/>
      <c r="E1534" s="34"/>
      <c r="F1534" s="213"/>
      <c r="G1534" s="213"/>
      <c r="H1534" s="34"/>
      <c r="I1534" s="214"/>
      <c r="J1534" s="214"/>
      <c r="K1534" s="34"/>
      <c r="L1534" s="34"/>
      <c r="M1534" s="34"/>
      <c r="N1534" s="34"/>
      <c r="O1534" s="34"/>
      <c r="P1534" s="34"/>
      <c r="Q1534" s="34"/>
      <c r="R1534" s="34"/>
      <c r="S1534" s="34"/>
      <c r="T1534" s="34"/>
      <c r="U1534" s="34"/>
      <c r="V1534" s="34"/>
      <c r="W1534" s="34"/>
      <c r="X1534" s="34"/>
      <c r="Y1534" s="34"/>
      <c r="Z1534" s="34"/>
    </row>
    <row r="1535" ht="15.75" customHeight="1">
      <c r="A1535" s="34"/>
      <c r="B1535" s="34"/>
      <c r="C1535" s="34"/>
      <c r="D1535" s="212"/>
      <c r="E1535" s="34"/>
      <c r="F1535" s="213"/>
      <c r="G1535" s="213"/>
      <c r="H1535" s="34"/>
      <c r="I1535" s="214"/>
      <c r="J1535" s="214"/>
      <c r="K1535" s="34"/>
      <c r="L1535" s="34"/>
      <c r="M1535" s="34"/>
      <c r="N1535" s="34"/>
      <c r="O1535" s="34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</row>
    <row r="1536" ht="15.75" customHeight="1">
      <c r="A1536" s="34"/>
      <c r="B1536" s="34"/>
      <c r="C1536" s="34"/>
      <c r="D1536" s="212"/>
      <c r="E1536" s="34"/>
      <c r="F1536" s="213"/>
      <c r="G1536" s="213"/>
      <c r="H1536" s="34"/>
      <c r="I1536" s="214"/>
      <c r="J1536" s="214"/>
      <c r="K1536" s="34"/>
      <c r="L1536" s="34"/>
      <c r="M1536" s="34"/>
      <c r="N1536" s="34"/>
      <c r="O1536" s="34"/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</row>
    <row r="1537" ht="15.75" customHeight="1">
      <c r="A1537" s="34"/>
      <c r="B1537" s="34"/>
      <c r="C1537" s="34"/>
      <c r="D1537" s="212"/>
      <c r="E1537" s="34"/>
      <c r="F1537" s="213"/>
      <c r="G1537" s="213"/>
      <c r="H1537" s="34"/>
      <c r="I1537" s="214"/>
      <c r="J1537" s="214"/>
      <c r="K1537" s="34"/>
      <c r="L1537" s="34"/>
      <c r="M1537" s="34"/>
      <c r="N1537" s="34"/>
      <c r="O1537" s="34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</row>
    <row r="1538" ht="15.75" customHeight="1">
      <c r="A1538" s="34"/>
      <c r="B1538" s="34"/>
      <c r="C1538" s="34"/>
      <c r="D1538" s="212"/>
      <c r="E1538" s="34"/>
      <c r="F1538" s="213"/>
      <c r="G1538" s="213"/>
      <c r="H1538" s="34"/>
      <c r="I1538" s="214"/>
      <c r="J1538" s="214"/>
      <c r="K1538" s="34"/>
      <c r="L1538" s="34"/>
      <c r="M1538" s="34"/>
      <c r="N1538" s="34"/>
      <c r="O1538" s="34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</row>
    <row r="1539" ht="15.75" customHeight="1">
      <c r="A1539" s="34"/>
      <c r="B1539" s="34"/>
      <c r="C1539" s="34"/>
      <c r="D1539" s="212"/>
      <c r="E1539" s="34"/>
      <c r="F1539" s="213"/>
      <c r="G1539" s="213"/>
      <c r="H1539" s="34"/>
      <c r="I1539" s="214"/>
      <c r="J1539" s="214"/>
      <c r="K1539" s="34"/>
      <c r="L1539" s="34"/>
      <c r="M1539" s="34"/>
      <c r="N1539" s="34"/>
      <c r="O1539" s="34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</row>
    <row r="1540" ht="15.75" customHeight="1">
      <c r="A1540" s="34"/>
      <c r="B1540" s="34"/>
      <c r="C1540" s="34"/>
      <c r="D1540" s="212"/>
      <c r="E1540" s="34"/>
      <c r="F1540" s="213"/>
      <c r="G1540" s="213"/>
      <c r="H1540" s="34"/>
      <c r="I1540" s="214"/>
      <c r="J1540" s="214"/>
      <c r="K1540" s="34"/>
      <c r="L1540" s="34"/>
      <c r="M1540" s="34"/>
      <c r="N1540" s="34"/>
      <c r="O1540" s="34"/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</row>
    <row r="1541" ht="15.75" customHeight="1">
      <c r="A1541" s="34"/>
      <c r="B1541" s="34"/>
      <c r="C1541" s="34"/>
      <c r="D1541" s="212"/>
      <c r="E1541" s="34"/>
      <c r="F1541" s="213"/>
      <c r="G1541" s="213"/>
      <c r="H1541" s="34"/>
      <c r="I1541" s="214"/>
      <c r="J1541" s="214"/>
      <c r="K1541" s="34"/>
      <c r="L1541" s="34"/>
      <c r="M1541" s="34"/>
      <c r="N1541" s="34"/>
      <c r="O1541" s="34"/>
      <c r="P1541" s="34"/>
      <c r="Q1541" s="34"/>
      <c r="R1541" s="34"/>
      <c r="S1541" s="34"/>
      <c r="T1541" s="34"/>
      <c r="U1541" s="34"/>
      <c r="V1541" s="34"/>
      <c r="W1541" s="34"/>
      <c r="X1541" s="34"/>
      <c r="Y1541" s="34"/>
      <c r="Z1541" s="34"/>
    </row>
    <row r="1542" ht="15.75" customHeight="1">
      <c r="A1542" s="34"/>
      <c r="B1542" s="34"/>
      <c r="C1542" s="34"/>
      <c r="D1542" s="212"/>
      <c r="E1542" s="34"/>
      <c r="F1542" s="213"/>
      <c r="G1542" s="213"/>
      <c r="H1542" s="34"/>
      <c r="I1542" s="214"/>
      <c r="J1542" s="214"/>
      <c r="K1542" s="34"/>
      <c r="L1542" s="34"/>
      <c r="M1542" s="34"/>
      <c r="N1542" s="34"/>
      <c r="O1542" s="34"/>
      <c r="P1542" s="34"/>
      <c r="Q1542" s="34"/>
      <c r="R1542" s="34"/>
      <c r="S1542" s="34"/>
      <c r="T1542" s="34"/>
      <c r="U1542" s="34"/>
      <c r="V1542" s="34"/>
      <c r="W1542" s="34"/>
      <c r="X1542" s="34"/>
      <c r="Y1542" s="34"/>
      <c r="Z1542" s="34"/>
    </row>
    <row r="1543" ht="15.75" customHeight="1">
      <c r="A1543" s="34"/>
      <c r="B1543" s="34"/>
      <c r="C1543" s="34"/>
      <c r="D1543" s="212"/>
      <c r="E1543" s="34"/>
      <c r="F1543" s="213"/>
      <c r="G1543" s="213"/>
      <c r="H1543" s="34"/>
      <c r="I1543" s="214"/>
      <c r="J1543" s="214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</row>
    <row r="1544" ht="15.75" customHeight="1">
      <c r="A1544" s="34"/>
      <c r="B1544" s="34"/>
      <c r="C1544" s="34"/>
      <c r="D1544" s="212"/>
      <c r="E1544" s="34"/>
      <c r="F1544" s="213"/>
      <c r="G1544" s="213"/>
      <c r="H1544" s="34"/>
      <c r="I1544" s="214"/>
      <c r="J1544" s="21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</row>
    <row r="1545" ht="15.75" customHeight="1">
      <c r="A1545" s="34"/>
      <c r="B1545" s="34"/>
      <c r="C1545" s="34"/>
      <c r="D1545" s="212"/>
      <c r="E1545" s="34"/>
      <c r="F1545" s="213"/>
      <c r="G1545" s="213"/>
      <c r="H1545" s="34"/>
      <c r="I1545" s="214"/>
      <c r="J1545" s="214"/>
      <c r="K1545" s="34"/>
      <c r="L1545" s="34"/>
      <c r="M1545" s="34"/>
      <c r="N1545" s="34"/>
      <c r="O1545" s="34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</row>
    <row r="1546" ht="15.75" customHeight="1">
      <c r="A1546" s="34"/>
      <c r="B1546" s="34"/>
      <c r="C1546" s="34"/>
      <c r="D1546" s="212"/>
      <c r="E1546" s="34"/>
      <c r="F1546" s="213"/>
      <c r="G1546" s="213"/>
      <c r="H1546" s="34"/>
      <c r="I1546" s="214"/>
      <c r="J1546" s="214"/>
      <c r="K1546" s="34"/>
      <c r="L1546" s="34"/>
      <c r="M1546" s="34"/>
      <c r="N1546" s="34"/>
      <c r="O1546" s="34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</row>
    <row r="1547" ht="15.75" customHeight="1">
      <c r="A1547" s="34"/>
      <c r="B1547" s="34"/>
      <c r="C1547" s="34"/>
      <c r="D1547" s="212"/>
      <c r="E1547" s="34"/>
      <c r="F1547" s="213"/>
      <c r="G1547" s="213"/>
      <c r="H1547" s="34"/>
      <c r="I1547" s="214"/>
      <c r="J1547" s="21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</row>
    <row r="1548" ht="15.75" customHeight="1">
      <c r="A1548" s="34"/>
      <c r="B1548" s="34"/>
      <c r="C1548" s="34"/>
      <c r="D1548" s="212"/>
      <c r="E1548" s="34"/>
      <c r="F1548" s="213"/>
      <c r="G1548" s="213"/>
      <c r="H1548" s="34"/>
      <c r="I1548" s="214"/>
      <c r="J1548" s="214"/>
      <c r="K1548" s="34"/>
      <c r="L1548" s="34"/>
      <c r="M1548" s="34"/>
      <c r="N1548" s="34"/>
      <c r="O1548" s="34"/>
      <c r="P1548" s="34"/>
      <c r="Q1548" s="34"/>
      <c r="R1548" s="34"/>
      <c r="S1548" s="34"/>
      <c r="T1548" s="34"/>
      <c r="U1548" s="34"/>
      <c r="V1548" s="34"/>
      <c r="W1548" s="34"/>
      <c r="X1548" s="34"/>
      <c r="Y1548" s="34"/>
      <c r="Z1548" s="34"/>
    </row>
    <row r="1549" ht="15.75" customHeight="1">
      <c r="A1549" s="34"/>
      <c r="B1549" s="34"/>
      <c r="C1549" s="34"/>
      <c r="D1549" s="212"/>
      <c r="E1549" s="34"/>
      <c r="F1549" s="213"/>
      <c r="G1549" s="213"/>
      <c r="H1549" s="34"/>
      <c r="I1549" s="214"/>
      <c r="J1549" s="214"/>
      <c r="K1549" s="34"/>
      <c r="L1549" s="34"/>
      <c r="M1549" s="34"/>
      <c r="N1549" s="34"/>
      <c r="O1549" s="34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</row>
    <row r="1550" ht="15.75" customHeight="1">
      <c r="A1550" s="34"/>
      <c r="B1550" s="34"/>
      <c r="C1550" s="34"/>
      <c r="D1550" s="212"/>
      <c r="E1550" s="34"/>
      <c r="F1550" s="213"/>
      <c r="G1550" s="213"/>
      <c r="H1550" s="34"/>
      <c r="I1550" s="214"/>
      <c r="J1550" s="214"/>
      <c r="K1550" s="34"/>
      <c r="L1550" s="34"/>
      <c r="M1550" s="34"/>
      <c r="N1550" s="34"/>
      <c r="O1550" s="34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</row>
    <row r="1551" ht="15.75" customHeight="1">
      <c r="A1551" s="34"/>
      <c r="B1551" s="34"/>
      <c r="C1551" s="34"/>
      <c r="D1551" s="212"/>
      <c r="E1551" s="34"/>
      <c r="F1551" s="213"/>
      <c r="G1551" s="213"/>
      <c r="H1551" s="34"/>
      <c r="I1551" s="214"/>
      <c r="J1551" s="214"/>
      <c r="K1551" s="34"/>
      <c r="L1551" s="34"/>
      <c r="M1551" s="34"/>
      <c r="N1551" s="34"/>
      <c r="O1551" s="34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</row>
    <row r="1552" ht="15.75" customHeight="1">
      <c r="A1552" s="34"/>
      <c r="B1552" s="34"/>
      <c r="C1552" s="34"/>
      <c r="D1552" s="212"/>
      <c r="E1552" s="34"/>
      <c r="F1552" s="213"/>
      <c r="G1552" s="213"/>
      <c r="H1552" s="34"/>
      <c r="I1552" s="214"/>
      <c r="J1552" s="214"/>
      <c r="K1552" s="34"/>
      <c r="L1552" s="34"/>
      <c r="M1552" s="34"/>
      <c r="N1552" s="34"/>
      <c r="O1552" s="34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</row>
    <row r="1553" ht="15.75" customHeight="1">
      <c r="A1553" s="34"/>
      <c r="B1553" s="34"/>
      <c r="C1553" s="34"/>
      <c r="D1553" s="212"/>
      <c r="E1553" s="34"/>
      <c r="F1553" s="213"/>
      <c r="G1553" s="213"/>
      <c r="H1553" s="34"/>
      <c r="I1553" s="214"/>
      <c r="J1553" s="214"/>
      <c r="K1553" s="34"/>
      <c r="L1553" s="34"/>
      <c r="M1553" s="34"/>
      <c r="N1553" s="34"/>
      <c r="O1553" s="34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</row>
    <row r="1554" ht="15.75" customHeight="1">
      <c r="A1554" s="34"/>
      <c r="B1554" s="34"/>
      <c r="C1554" s="34"/>
      <c r="D1554" s="212"/>
      <c r="E1554" s="34"/>
      <c r="F1554" s="213"/>
      <c r="G1554" s="213"/>
      <c r="H1554" s="34"/>
      <c r="I1554" s="214"/>
      <c r="J1554" s="214"/>
      <c r="K1554" s="34"/>
      <c r="L1554" s="34"/>
      <c r="M1554" s="34"/>
      <c r="N1554" s="34"/>
      <c r="O1554" s="34"/>
      <c r="P1554" s="34"/>
      <c r="Q1554" s="34"/>
      <c r="R1554" s="34"/>
      <c r="S1554" s="34"/>
      <c r="T1554" s="34"/>
      <c r="U1554" s="34"/>
      <c r="V1554" s="34"/>
      <c r="W1554" s="34"/>
      <c r="X1554" s="34"/>
      <c r="Y1554" s="34"/>
      <c r="Z1554" s="34"/>
    </row>
    <row r="1555" ht="15.75" customHeight="1">
      <c r="A1555" s="34"/>
      <c r="B1555" s="34"/>
      <c r="C1555" s="34"/>
      <c r="D1555" s="212"/>
      <c r="E1555" s="34"/>
      <c r="F1555" s="213"/>
      <c r="G1555" s="213"/>
      <c r="H1555" s="34"/>
      <c r="I1555" s="214"/>
      <c r="J1555" s="21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</row>
    <row r="1556" ht="15.75" customHeight="1">
      <c r="A1556" s="34"/>
      <c r="B1556" s="34"/>
      <c r="C1556" s="34"/>
      <c r="D1556" s="212"/>
      <c r="E1556" s="34"/>
      <c r="F1556" s="213"/>
      <c r="G1556" s="213"/>
      <c r="H1556" s="34"/>
      <c r="I1556" s="214"/>
      <c r="J1556" s="214"/>
      <c r="K1556" s="34"/>
      <c r="L1556" s="34"/>
      <c r="M1556" s="34"/>
      <c r="N1556" s="34"/>
      <c r="O1556" s="34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</row>
    <row r="1557" ht="15.75" customHeight="1">
      <c r="A1557" s="34"/>
      <c r="B1557" s="34"/>
      <c r="C1557" s="34"/>
      <c r="D1557" s="212"/>
      <c r="E1557" s="34"/>
      <c r="F1557" s="213"/>
      <c r="G1557" s="213"/>
      <c r="H1557" s="34"/>
      <c r="I1557" s="214"/>
      <c r="J1557" s="214"/>
      <c r="K1557" s="34"/>
      <c r="L1557" s="34"/>
      <c r="M1557" s="34"/>
      <c r="N1557" s="34"/>
      <c r="O1557" s="34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</row>
    <row r="1558" ht="15.75" customHeight="1">
      <c r="A1558" s="34"/>
      <c r="B1558" s="34"/>
      <c r="C1558" s="34"/>
      <c r="D1558" s="212"/>
      <c r="E1558" s="34"/>
      <c r="F1558" s="213"/>
      <c r="G1558" s="213"/>
      <c r="H1558" s="34"/>
      <c r="I1558" s="214"/>
      <c r="J1558" s="214"/>
      <c r="K1558" s="34"/>
      <c r="L1558" s="34"/>
      <c r="M1558" s="34"/>
      <c r="N1558" s="34"/>
      <c r="O1558" s="34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</row>
    <row r="1559" ht="15.75" customHeight="1">
      <c r="A1559" s="34"/>
      <c r="B1559" s="34"/>
      <c r="C1559" s="34"/>
      <c r="D1559" s="212"/>
      <c r="E1559" s="34"/>
      <c r="F1559" s="213"/>
      <c r="G1559" s="213"/>
      <c r="H1559" s="34"/>
      <c r="I1559" s="214"/>
      <c r="J1559" s="214"/>
      <c r="K1559" s="34"/>
      <c r="L1559" s="34"/>
      <c r="M1559" s="34"/>
      <c r="N1559" s="34"/>
      <c r="O1559" s="34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</row>
    <row r="1560" ht="15.75" customHeight="1">
      <c r="A1560" s="34"/>
      <c r="B1560" s="34"/>
      <c r="C1560" s="34"/>
      <c r="D1560" s="212"/>
      <c r="E1560" s="34"/>
      <c r="F1560" s="213"/>
      <c r="G1560" s="213"/>
      <c r="H1560" s="34"/>
      <c r="I1560" s="214"/>
      <c r="J1560" s="214"/>
      <c r="K1560" s="34"/>
      <c r="L1560" s="34"/>
      <c r="M1560" s="34"/>
      <c r="N1560" s="34"/>
      <c r="O1560" s="34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</row>
    <row r="1561" ht="15.75" customHeight="1">
      <c r="A1561" s="34"/>
      <c r="B1561" s="34"/>
      <c r="C1561" s="34"/>
      <c r="D1561" s="212"/>
      <c r="E1561" s="34"/>
      <c r="F1561" s="213"/>
      <c r="G1561" s="213"/>
      <c r="H1561" s="34"/>
      <c r="I1561" s="214"/>
      <c r="J1561" s="21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</row>
    <row r="1562" ht="15.75" customHeight="1">
      <c r="A1562" s="34"/>
      <c r="B1562" s="34"/>
      <c r="C1562" s="34"/>
      <c r="D1562" s="212"/>
      <c r="E1562" s="34"/>
      <c r="F1562" s="213"/>
      <c r="G1562" s="213"/>
      <c r="H1562" s="34"/>
      <c r="I1562" s="214"/>
      <c r="J1562" s="214"/>
      <c r="K1562" s="34"/>
      <c r="L1562" s="34"/>
      <c r="M1562" s="34"/>
      <c r="N1562" s="34"/>
      <c r="O1562" s="34"/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</row>
    <row r="1563" ht="15.75" customHeight="1">
      <c r="A1563" s="34"/>
      <c r="B1563" s="34"/>
      <c r="C1563" s="34"/>
      <c r="D1563" s="212"/>
      <c r="E1563" s="34"/>
      <c r="F1563" s="213"/>
      <c r="G1563" s="213"/>
      <c r="H1563" s="34"/>
      <c r="I1563" s="214"/>
      <c r="J1563" s="214"/>
      <c r="K1563" s="34"/>
      <c r="L1563" s="34"/>
      <c r="M1563" s="34"/>
      <c r="N1563" s="34"/>
      <c r="O1563" s="34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</row>
    <row r="1564" ht="15.75" customHeight="1">
      <c r="A1564" s="34"/>
      <c r="B1564" s="34"/>
      <c r="C1564" s="34"/>
      <c r="D1564" s="212"/>
      <c r="E1564" s="34"/>
      <c r="F1564" s="213"/>
      <c r="G1564" s="213"/>
      <c r="H1564" s="34"/>
      <c r="I1564" s="214"/>
      <c r="J1564" s="214"/>
      <c r="K1564" s="34"/>
      <c r="L1564" s="34"/>
      <c r="M1564" s="34"/>
      <c r="N1564" s="34"/>
      <c r="O1564" s="34"/>
      <c r="P1564" s="34"/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</row>
    <row r="1565" ht="15.75" customHeight="1">
      <c r="A1565" s="34"/>
      <c r="B1565" s="34"/>
      <c r="C1565" s="34"/>
      <c r="D1565" s="212"/>
      <c r="E1565" s="34"/>
      <c r="F1565" s="213"/>
      <c r="G1565" s="213"/>
      <c r="H1565" s="34"/>
      <c r="I1565" s="214"/>
      <c r="J1565" s="214"/>
      <c r="K1565" s="34"/>
      <c r="L1565" s="34"/>
      <c r="M1565" s="34"/>
      <c r="N1565" s="34"/>
      <c r="O1565" s="34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</row>
    <row r="1566" ht="15.75" customHeight="1">
      <c r="A1566" s="34"/>
      <c r="B1566" s="34"/>
      <c r="C1566" s="34"/>
      <c r="D1566" s="212"/>
      <c r="E1566" s="34"/>
      <c r="F1566" s="213"/>
      <c r="G1566" s="213"/>
      <c r="H1566" s="34"/>
      <c r="I1566" s="214"/>
      <c r="J1566" s="21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</row>
    <row r="1567" ht="15.75" customHeight="1">
      <c r="A1567" s="34"/>
      <c r="B1567" s="34"/>
      <c r="C1567" s="34"/>
      <c r="D1567" s="212"/>
      <c r="E1567" s="34"/>
      <c r="F1567" s="213"/>
      <c r="G1567" s="213"/>
      <c r="H1567" s="34"/>
      <c r="I1567" s="214"/>
      <c r="J1567" s="214"/>
      <c r="K1567" s="34"/>
      <c r="L1567" s="34"/>
      <c r="M1567" s="34"/>
      <c r="N1567" s="34"/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</row>
    <row r="1568" ht="15.75" customHeight="1">
      <c r="A1568" s="34"/>
      <c r="B1568" s="34"/>
      <c r="C1568" s="34"/>
      <c r="D1568" s="212"/>
      <c r="E1568" s="34"/>
      <c r="F1568" s="213"/>
      <c r="G1568" s="213"/>
      <c r="H1568" s="34"/>
      <c r="I1568" s="214"/>
      <c r="J1568" s="214"/>
      <c r="K1568" s="34"/>
      <c r="L1568" s="34"/>
      <c r="M1568" s="34"/>
      <c r="N1568" s="34"/>
      <c r="O1568" s="34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</row>
    <row r="1569" ht="15.75" customHeight="1">
      <c r="A1569" s="34"/>
      <c r="B1569" s="34"/>
      <c r="C1569" s="34"/>
      <c r="D1569" s="212"/>
      <c r="E1569" s="34"/>
      <c r="F1569" s="213"/>
      <c r="G1569" s="213"/>
      <c r="H1569" s="34"/>
      <c r="I1569" s="214"/>
      <c r="J1569" s="214"/>
      <c r="K1569" s="34"/>
      <c r="L1569" s="34"/>
      <c r="M1569" s="34"/>
      <c r="N1569" s="34"/>
      <c r="O1569" s="34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</row>
    <row r="1570" ht="15.75" customHeight="1">
      <c r="A1570" s="34"/>
      <c r="B1570" s="34"/>
      <c r="C1570" s="34"/>
      <c r="D1570" s="212"/>
      <c r="E1570" s="34"/>
      <c r="F1570" s="213"/>
      <c r="G1570" s="213"/>
      <c r="H1570" s="34"/>
      <c r="I1570" s="214"/>
      <c r="J1570" s="214"/>
      <c r="K1570" s="34"/>
      <c r="L1570" s="34"/>
      <c r="M1570" s="34"/>
      <c r="N1570" s="34"/>
      <c r="O1570" s="34"/>
      <c r="P1570" s="34"/>
      <c r="Q1570" s="34"/>
      <c r="R1570" s="34"/>
      <c r="S1570" s="34"/>
      <c r="T1570" s="34"/>
      <c r="U1570" s="34"/>
      <c r="V1570" s="34"/>
      <c r="W1570" s="34"/>
      <c r="X1570" s="34"/>
      <c r="Y1570" s="34"/>
      <c r="Z1570" s="34"/>
    </row>
    <row r="1571" ht="15.75" customHeight="1">
      <c r="A1571" s="34"/>
      <c r="B1571" s="34"/>
      <c r="C1571" s="34"/>
      <c r="D1571" s="212"/>
      <c r="E1571" s="34"/>
      <c r="F1571" s="213"/>
      <c r="G1571" s="213"/>
      <c r="H1571" s="34"/>
      <c r="I1571" s="214"/>
      <c r="J1571" s="214"/>
      <c r="K1571" s="34"/>
      <c r="L1571" s="34"/>
      <c r="M1571" s="34"/>
      <c r="N1571" s="34"/>
      <c r="O1571" s="34"/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</row>
    <row r="1572" ht="15.75" customHeight="1">
      <c r="A1572" s="34"/>
      <c r="B1572" s="34"/>
      <c r="C1572" s="34"/>
      <c r="D1572" s="212"/>
      <c r="E1572" s="34"/>
      <c r="F1572" s="213"/>
      <c r="G1572" s="213"/>
      <c r="H1572" s="34"/>
      <c r="I1572" s="214"/>
      <c r="J1572" s="214"/>
      <c r="K1572" s="34"/>
      <c r="L1572" s="34"/>
      <c r="M1572" s="34"/>
      <c r="N1572" s="34"/>
      <c r="O1572" s="34"/>
      <c r="P1572" s="34"/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</row>
    <row r="1573" ht="15.75" customHeight="1">
      <c r="A1573" s="34"/>
      <c r="B1573" s="34"/>
      <c r="C1573" s="34"/>
      <c r="D1573" s="212"/>
      <c r="E1573" s="34"/>
      <c r="F1573" s="213"/>
      <c r="G1573" s="213"/>
      <c r="H1573" s="34"/>
      <c r="I1573" s="214"/>
      <c r="J1573" s="214"/>
      <c r="K1573" s="34"/>
      <c r="L1573" s="34"/>
      <c r="M1573" s="34"/>
      <c r="N1573" s="34"/>
      <c r="O1573" s="34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</row>
    <row r="1574" ht="15.75" customHeight="1">
      <c r="A1574" s="34"/>
      <c r="B1574" s="34"/>
      <c r="C1574" s="34"/>
      <c r="D1574" s="212"/>
      <c r="E1574" s="34"/>
      <c r="F1574" s="213"/>
      <c r="G1574" s="213"/>
      <c r="H1574" s="34"/>
      <c r="I1574" s="214"/>
      <c r="J1574" s="214"/>
      <c r="K1574" s="34"/>
      <c r="L1574" s="34"/>
      <c r="M1574" s="34"/>
      <c r="N1574" s="34"/>
      <c r="O1574" s="34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</row>
    <row r="1575" ht="15.75" customHeight="1">
      <c r="A1575" s="34"/>
      <c r="B1575" s="34"/>
      <c r="C1575" s="34"/>
      <c r="D1575" s="212"/>
      <c r="E1575" s="34"/>
      <c r="F1575" s="213"/>
      <c r="G1575" s="213"/>
      <c r="H1575" s="34"/>
      <c r="I1575" s="214"/>
      <c r="J1575" s="214"/>
      <c r="K1575" s="34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</row>
    <row r="1576" ht="15.75" customHeight="1">
      <c r="A1576" s="34"/>
      <c r="B1576" s="34"/>
      <c r="C1576" s="34"/>
      <c r="D1576" s="212"/>
      <c r="E1576" s="34"/>
      <c r="F1576" s="213"/>
      <c r="G1576" s="213"/>
      <c r="H1576" s="34"/>
      <c r="I1576" s="214"/>
      <c r="J1576" s="214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</row>
    <row r="1577" ht="15.75" customHeight="1">
      <c r="A1577" s="34"/>
      <c r="B1577" s="34"/>
      <c r="C1577" s="34"/>
      <c r="D1577" s="212"/>
      <c r="E1577" s="34"/>
      <c r="F1577" s="213"/>
      <c r="G1577" s="213"/>
      <c r="H1577" s="34"/>
      <c r="I1577" s="214"/>
      <c r="J1577" s="214"/>
      <c r="K1577" s="34"/>
      <c r="L1577" s="34"/>
      <c r="M1577" s="34"/>
      <c r="N1577" s="34"/>
      <c r="O1577" s="34"/>
      <c r="P1577" s="34"/>
      <c r="Q1577" s="34"/>
      <c r="R1577" s="34"/>
      <c r="S1577" s="34"/>
      <c r="T1577" s="34"/>
      <c r="U1577" s="34"/>
      <c r="V1577" s="34"/>
      <c r="W1577" s="34"/>
      <c r="X1577" s="34"/>
      <c r="Y1577" s="34"/>
      <c r="Z1577" s="34"/>
    </row>
    <row r="1578" ht="15.75" customHeight="1">
      <c r="A1578" s="34"/>
      <c r="B1578" s="34"/>
      <c r="C1578" s="34"/>
      <c r="D1578" s="212"/>
      <c r="E1578" s="34"/>
      <c r="F1578" s="213"/>
      <c r="G1578" s="213"/>
      <c r="H1578" s="34"/>
      <c r="I1578" s="214"/>
      <c r="J1578" s="21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</row>
    <row r="1579" ht="15.75" customHeight="1">
      <c r="A1579" s="34"/>
      <c r="B1579" s="34"/>
      <c r="C1579" s="34"/>
      <c r="D1579" s="212"/>
      <c r="E1579" s="34"/>
      <c r="F1579" s="213"/>
      <c r="G1579" s="213"/>
      <c r="H1579" s="34"/>
      <c r="I1579" s="214"/>
      <c r="J1579" s="214"/>
      <c r="K1579" s="34"/>
      <c r="L1579" s="34"/>
      <c r="M1579" s="34"/>
      <c r="N1579" s="34"/>
      <c r="O1579" s="34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</row>
    <row r="1580" ht="15.75" customHeight="1">
      <c r="A1580" s="34"/>
      <c r="B1580" s="34"/>
      <c r="C1580" s="34"/>
      <c r="D1580" s="212"/>
      <c r="E1580" s="34"/>
      <c r="F1580" s="213"/>
      <c r="G1580" s="213"/>
      <c r="H1580" s="34"/>
      <c r="I1580" s="214"/>
      <c r="J1580" s="214"/>
      <c r="K1580" s="34"/>
      <c r="L1580" s="34"/>
      <c r="M1580" s="34"/>
      <c r="N1580" s="34"/>
      <c r="O1580" s="34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</row>
    <row r="1581" ht="15.75" customHeight="1">
      <c r="A1581" s="34"/>
      <c r="B1581" s="34"/>
      <c r="C1581" s="34"/>
      <c r="D1581" s="212"/>
      <c r="E1581" s="34"/>
      <c r="F1581" s="213"/>
      <c r="G1581" s="213"/>
      <c r="H1581" s="34"/>
      <c r="I1581" s="214"/>
      <c r="J1581" s="21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</row>
    <row r="1582" ht="15.75" customHeight="1">
      <c r="A1582" s="34"/>
      <c r="B1582" s="34"/>
      <c r="C1582" s="34"/>
      <c r="D1582" s="212"/>
      <c r="E1582" s="34"/>
      <c r="F1582" s="213"/>
      <c r="G1582" s="213"/>
      <c r="H1582" s="34"/>
      <c r="I1582" s="214"/>
      <c r="J1582" s="214"/>
      <c r="K1582" s="34"/>
      <c r="L1582" s="34"/>
      <c r="M1582" s="34"/>
      <c r="N1582" s="34"/>
      <c r="O1582" s="34"/>
      <c r="P1582" s="34"/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</row>
    <row r="1583" ht="15.75" customHeight="1">
      <c r="A1583" s="34"/>
      <c r="B1583" s="34"/>
      <c r="C1583" s="34"/>
      <c r="D1583" s="212"/>
      <c r="E1583" s="34"/>
      <c r="F1583" s="213"/>
      <c r="G1583" s="213"/>
      <c r="H1583" s="34"/>
      <c r="I1583" s="214"/>
      <c r="J1583" s="214"/>
      <c r="K1583" s="34"/>
      <c r="L1583" s="34"/>
      <c r="M1583" s="34"/>
      <c r="N1583" s="34"/>
      <c r="O1583" s="34"/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</row>
    <row r="1584" ht="15.75" customHeight="1">
      <c r="A1584" s="34"/>
      <c r="B1584" s="34"/>
      <c r="C1584" s="34"/>
      <c r="D1584" s="212"/>
      <c r="E1584" s="34"/>
      <c r="F1584" s="213"/>
      <c r="G1584" s="213"/>
      <c r="H1584" s="34"/>
      <c r="I1584" s="214"/>
      <c r="J1584" s="214"/>
      <c r="K1584" s="34"/>
      <c r="L1584" s="34"/>
      <c r="M1584" s="34"/>
      <c r="N1584" s="34"/>
      <c r="O1584" s="34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</row>
    <row r="1585" ht="15.75" customHeight="1">
      <c r="A1585" s="34"/>
      <c r="B1585" s="34"/>
      <c r="C1585" s="34"/>
      <c r="D1585" s="212"/>
      <c r="E1585" s="34"/>
      <c r="F1585" s="213"/>
      <c r="G1585" s="213"/>
      <c r="H1585" s="34"/>
      <c r="I1585" s="214"/>
      <c r="J1585" s="214"/>
      <c r="K1585" s="34"/>
      <c r="L1585" s="34"/>
      <c r="M1585" s="34"/>
      <c r="N1585" s="34"/>
      <c r="O1585" s="34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</row>
    <row r="1586" ht="15.75" customHeight="1">
      <c r="A1586" s="34"/>
      <c r="B1586" s="34"/>
      <c r="C1586" s="34"/>
      <c r="D1586" s="212"/>
      <c r="E1586" s="34"/>
      <c r="F1586" s="213"/>
      <c r="G1586" s="213"/>
      <c r="H1586" s="34"/>
      <c r="I1586" s="214"/>
      <c r="J1586" s="214"/>
      <c r="K1586" s="34"/>
      <c r="L1586" s="34"/>
      <c r="M1586" s="34"/>
      <c r="N1586" s="34"/>
      <c r="O1586" s="34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</row>
    <row r="1587" ht="15.75" customHeight="1">
      <c r="A1587" s="34"/>
      <c r="B1587" s="34"/>
      <c r="C1587" s="34"/>
      <c r="D1587" s="212"/>
      <c r="E1587" s="34"/>
      <c r="F1587" s="213"/>
      <c r="G1587" s="213"/>
      <c r="H1587" s="34"/>
      <c r="I1587" s="214"/>
      <c r="J1587" s="214"/>
      <c r="K1587" s="34"/>
      <c r="L1587" s="34"/>
      <c r="M1587" s="34"/>
      <c r="N1587" s="34"/>
      <c r="O1587" s="34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</row>
    <row r="1588" ht="15.75" customHeight="1">
      <c r="A1588" s="34"/>
      <c r="B1588" s="34"/>
      <c r="C1588" s="34"/>
      <c r="D1588" s="212"/>
      <c r="E1588" s="34"/>
      <c r="F1588" s="213"/>
      <c r="G1588" s="213"/>
      <c r="H1588" s="34"/>
      <c r="I1588" s="214"/>
      <c r="J1588" s="214"/>
      <c r="K1588" s="34"/>
      <c r="L1588" s="34"/>
      <c r="M1588" s="34"/>
      <c r="N1588" s="34"/>
      <c r="O1588" s="34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</row>
    <row r="1589" ht="15.75" customHeight="1">
      <c r="A1589" s="34"/>
      <c r="B1589" s="34"/>
      <c r="C1589" s="34"/>
      <c r="D1589" s="212"/>
      <c r="E1589" s="34"/>
      <c r="F1589" s="213"/>
      <c r="G1589" s="213"/>
      <c r="H1589" s="34"/>
      <c r="I1589" s="214"/>
      <c r="J1589" s="21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</row>
    <row r="1590" ht="15.75" customHeight="1">
      <c r="A1590" s="34"/>
      <c r="B1590" s="34"/>
      <c r="C1590" s="34"/>
      <c r="D1590" s="212"/>
      <c r="E1590" s="34"/>
      <c r="F1590" s="213"/>
      <c r="G1590" s="213"/>
      <c r="H1590" s="34"/>
      <c r="I1590" s="214"/>
      <c r="J1590" s="214"/>
      <c r="K1590" s="34"/>
      <c r="L1590" s="34"/>
      <c r="M1590" s="34"/>
      <c r="N1590" s="34"/>
      <c r="O1590" s="34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</row>
    <row r="1591" ht="15.75" customHeight="1">
      <c r="A1591" s="34"/>
      <c r="B1591" s="34"/>
      <c r="C1591" s="34"/>
      <c r="D1591" s="212"/>
      <c r="E1591" s="34"/>
      <c r="F1591" s="213"/>
      <c r="G1591" s="213"/>
      <c r="H1591" s="34"/>
      <c r="I1591" s="214"/>
      <c r="J1591" s="21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</row>
    <row r="1592" ht="15.75" customHeight="1">
      <c r="A1592" s="34"/>
      <c r="B1592" s="34"/>
      <c r="C1592" s="34"/>
      <c r="D1592" s="212"/>
      <c r="E1592" s="34"/>
      <c r="F1592" s="213"/>
      <c r="G1592" s="213"/>
      <c r="H1592" s="34"/>
      <c r="I1592" s="214"/>
      <c r="J1592" s="214"/>
      <c r="K1592" s="34"/>
      <c r="L1592" s="34"/>
      <c r="M1592" s="34"/>
      <c r="N1592" s="34"/>
      <c r="O1592" s="34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</row>
    <row r="1593" ht="15.75" customHeight="1">
      <c r="A1593" s="34"/>
      <c r="B1593" s="34"/>
      <c r="C1593" s="34"/>
      <c r="D1593" s="212"/>
      <c r="E1593" s="34"/>
      <c r="F1593" s="213"/>
      <c r="G1593" s="213"/>
      <c r="H1593" s="34"/>
      <c r="I1593" s="214"/>
      <c r="J1593" s="214"/>
      <c r="K1593" s="34"/>
      <c r="L1593" s="34"/>
      <c r="M1593" s="34"/>
      <c r="N1593" s="34"/>
      <c r="O1593" s="34"/>
      <c r="P1593" s="34"/>
      <c r="Q1593" s="34"/>
      <c r="R1593" s="34"/>
      <c r="S1593" s="34"/>
      <c r="T1593" s="34"/>
      <c r="U1593" s="34"/>
      <c r="V1593" s="34"/>
      <c r="W1593" s="34"/>
      <c r="X1593" s="34"/>
      <c r="Y1593" s="34"/>
      <c r="Z1593" s="34"/>
    </row>
    <row r="1594" ht="15.75" customHeight="1">
      <c r="A1594" s="34"/>
      <c r="B1594" s="34"/>
      <c r="C1594" s="34"/>
      <c r="D1594" s="212"/>
      <c r="E1594" s="34"/>
      <c r="F1594" s="213"/>
      <c r="G1594" s="213"/>
      <c r="H1594" s="34"/>
      <c r="I1594" s="214"/>
      <c r="J1594" s="214"/>
      <c r="K1594" s="34"/>
      <c r="L1594" s="34"/>
      <c r="M1594" s="34"/>
      <c r="N1594" s="34"/>
      <c r="O1594" s="34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</row>
    <row r="1595" ht="15.75" customHeight="1">
      <c r="A1595" s="34"/>
      <c r="B1595" s="34"/>
      <c r="C1595" s="34"/>
      <c r="D1595" s="212"/>
      <c r="E1595" s="34"/>
      <c r="F1595" s="213"/>
      <c r="G1595" s="213"/>
      <c r="H1595" s="34"/>
      <c r="I1595" s="214"/>
      <c r="J1595" s="21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</row>
    <row r="1596" ht="15.75" customHeight="1">
      <c r="A1596" s="34"/>
      <c r="B1596" s="34"/>
      <c r="C1596" s="34"/>
      <c r="D1596" s="212"/>
      <c r="E1596" s="34"/>
      <c r="F1596" s="213"/>
      <c r="G1596" s="213"/>
      <c r="H1596" s="34"/>
      <c r="I1596" s="214"/>
      <c r="J1596" s="214"/>
      <c r="K1596" s="34"/>
      <c r="L1596" s="34"/>
      <c r="M1596" s="34"/>
      <c r="N1596" s="34"/>
      <c r="O1596" s="34"/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</row>
    <row r="1597" ht="15.75" customHeight="1">
      <c r="A1597" s="34"/>
      <c r="B1597" s="34"/>
      <c r="C1597" s="34"/>
      <c r="D1597" s="212"/>
      <c r="E1597" s="34"/>
      <c r="F1597" s="213"/>
      <c r="G1597" s="213"/>
      <c r="H1597" s="34"/>
      <c r="I1597" s="214"/>
      <c r="J1597" s="214"/>
      <c r="K1597" s="34"/>
      <c r="L1597" s="34"/>
      <c r="M1597" s="34"/>
      <c r="N1597" s="34"/>
      <c r="O1597" s="34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</row>
    <row r="1598" ht="15.75" customHeight="1">
      <c r="A1598" s="34"/>
      <c r="B1598" s="34"/>
      <c r="C1598" s="34"/>
      <c r="D1598" s="212"/>
      <c r="E1598" s="34"/>
      <c r="F1598" s="213"/>
      <c r="G1598" s="213"/>
      <c r="H1598" s="34"/>
      <c r="I1598" s="214"/>
      <c r="J1598" s="214"/>
      <c r="K1598" s="34"/>
      <c r="L1598" s="34"/>
      <c r="M1598" s="34"/>
      <c r="N1598" s="34"/>
      <c r="O1598" s="34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</row>
    <row r="1599" ht="15.75" customHeight="1">
      <c r="A1599" s="34"/>
      <c r="B1599" s="34"/>
      <c r="C1599" s="34"/>
      <c r="D1599" s="212"/>
      <c r="E1599" s="34"/>
      <c r="F1599" s="213"/>
      <c r="G1599" s="213"/>
      <c r="H1599" s="34"/>
      <c r="I1599" s="214"/>
      <c r="J1599" s="214"/>
      <c r="K1599" s="34"/>
      <c r="L1599" s="34"/>
      <c r="M1599" s="34"/>
      <c r="N1599" s="34"/>
      <c r="O1599" s="34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</row>
    <row r="1600" ht="15.75" customHeight="1">
      <c r="A1600" s="34"/>
      <c r="B1600" s="34"/>
      <c r="C1600" s="34"/>
      <c r="D1600" s="212"/>
      <c r="E1600" s="34"/>
      <c r="F1600" s="213"/>
      <c r="G1600" s="213"/>
      <c r="H1600" s="34"/>
      <c r="I1600" s="214"/>
      <c r="J1600" s="21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</row>
    <row r="1601" ht="15.75" customHeight="1">
      <c r="A1601" s="34"/>
      <c r="B1601" s="34"/>
      <c r="C1601" s="34"/>
      <c r="D1601" s="212"/>
      <c r="E1601" s="34"/>
      <c r="F1601" s="213"/>
      <c r="G1601" s="213"/>
      <c r="H1601" s="34"/>
      <c r="I1601" s="214"/>
      <c r="J1601" s="214"/>
      <c r="K1601" s="34"/>
      <c r="L1601" s="34"/>
      <c r="M1601" s="34"/>
      <c r="N1601" s="34"/>
      <c r="O1601" s="34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</row>
    <row r="1602" ht="15.75" customHeight="1">
      <c r="A1602" s="34"/>
      <c r="B1602" s="34"/>
      <c r="C1602" s="34"/>
      <c r="D1602" s="212"/>
      <c r="E1602" s="34"/>
      <c r="F1602" s="213"/>
      <c r="G1602" s="213"/>
      <c r="H1602" s="34"/>
      <c r="I1602" s="214"/>
      <c r="J1602" s="214"/>
      <c r="K1602" s="34"/>
      <c r="L1602" s="34"/>
      <c r="M1602" s="34"/>
      <c r="N1602" s="34"/>
      <c r="O1602" s="34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</row>
    <row r="1603" ht="15.75" customHeight="1">
      <c r="A1603" s="34"/>
      <c r="B1603" s="34"/>
      <c r="C1603" s="34"/>
      <c r="D1603" s="212"/>
      <c r="E1603" s="34"/>
      <c r="F1603" s="213"/>
      <c r="G1603" s="213"/>
      <c r="H1603" s="34"/>
      <c r="I1603" s="214"/>
      <c r="J1603" s="214"/>
      <c r="K1603" s="34"/>
      <c r="L1603" s="34"/>
      <c r="M1603" s="34"/>
      <c r="N1603" s="34"/>
      <c r="O1603" s="34"/>
      <c r="P1603" s="34"/>
      <c r="Q1603" s="34"/>
      <c r="R1603" s="34"/>
      <c r="S1603" s="34"/>
      <c r="T1603" s="34"/>
      <c r="U1603" s="34"/>
      <c r="V1603" s="34"/>
      <c r="W1603" s="34"/>
      <c r="X1603" s="34"/>
      <c r="Y1603" s="34"/>
      <c r="Z1603" s="34"/>
    </row>
    <row r="1604" ht="15.75" customHeight="1">
      <c r="A1604" s="34"/>
      <c r="B1604" s="34"/>
      <c r="C1604" s="34"/>
      <c r="D1604" s="212"/>
      <c r="E1604" s="34"/>
      <c r="F1604" s="213"/>
      <c r="G1604" s="213"/>
      <c r="H1604" s="34"/>
      <c r="I1604" s="214"/>
      <c r="J1604" s="214"/>
      <c r="K1604" s="34"/>
      <c r="L1604" s="34"/>
      <c r="M1604" s="34"/>
      <c r="N1604" s="34"/>
      <c r="O1604" s="34"/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</row>
    <row r="1605" ht="15.75" customHeight="1">
      <c r="A1605" s="34"/>
      <c r="B1605" s="34"/>
      <c r="C1605" s="34"/>
      <c r="D1605" s="212"/>
      <c r="E1605" s="34"/>
      <c r="F1605" s="213"/>
      <c r="G1605" s="213"/>
      <c r="H1605" s="34"/>
      <c r="I1605" s="214"/>
      <c r="J1605" s="214"/>
      <c r="K1605" s="34"/>
      <c r="L1605" s="34"/>
      <c r="M1605" s="34"/>
      <c r="N1605" s="34"/>
      <c r="O1605" s="34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</row>
    <row r="1606" ht="15.75" customHeight="1">
      <c r="A1606" s="34"/>
      <c r="B1606" s="34"/>
      <c r="C1606" s="34"/>
      <c r="D1606" s="212"/>
      <c r="E1606" s="34"/>
      <c r="F1606" s="213"/>
      <c r="G1606" s="213"/>
      <c r="H1606" s="34"/>
      <c r="I1606" s="214"/>
      <c r="J1606" s="214"/>
      <c r="K1606" s="34"/>
      <c r="L1606" s="34"/>
      <c r="M1606" s="34"/>
      <c r="N1606" s="34"/>
      <c r="O1606" s="34"/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</row>
    <row r="1607" ht="15.75" customHeight="1">
      <c r="A1607" s="34"/>
      <c r="B1607" s="34"/>
      <c r="C1607" s="34"/>
      <c r="D1607" s="212"/>
      <c r="E1607" s="34"/>
      <c r="F1607" s="213"/>
      <c r="G1607" s="213"/>
      <c r="H1607" s="34"/>
      <c r="I1607" s="214"/>
      <c r="J1607" s="214"/>
      <c r="K1607" s="34"/>
      <c r="L1607" s="34"/>
      <c r="M1607" s="34"/>
      <c r="N1607" s="34"/>
      <c r="O1607" s="34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</row>
    <row r="1608" ht="15.75" customHeight="1">
      <c r="A1608" s="34"/>
      <c r="B1608" s="34"/>
      <c r="C1608" s="34"/>
      <c r="D1608" s="212"/>
      <c r="E1608" s="34"/>
      <c r="F1608" s="213"/>
      <c r="G1608" s="213"/>
      <c r="H1608" s="34"/>
      <c r="I1608" s="214"/>
      <c r="J1608" s="214"/>
      <c r="K1608" s="34"/>
      <c r="L1608" s="34"/>
      <c r="M1608" s="34"/>
      <c r="N1608" s="34"/>
      <c r="O1608" s="34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</row>
    <row r="1609" ht="15.75" customHeight="1">
      <c r="A1609" s="34"/>
      <c r="B1609" s="34"/>
      <c r="C1609" s="34"/>
      <c r="D1609" s="212"/>
      <c r="E1609" s="34"/>
      <c r="F1609" s="213"/>
      <c r="G1609" s="213"/>
      <c r="H1609" s="34"/>
      <c r="I1609" s="214"/>
      <c r="J1609" s="214"/>
      <c r="K1609" s="34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</row>
    <row r="1610" ht="15.75" customHeight="1">
      <c r="A1610" s="34"/>
      <c r="B1610" s="34"/>
      <c r="C1610" s="34"/>
      <c r="D1610" s="212"/>
      <c r="E1610" s="34"/>
      <c r="F1610" s="213"/>
      <c r="G1610" s="213"/>
      <c r="H1610" s="34"/>
      <c r="I1610" s="214"/>
      <c r="J1610" s="214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</row>
    <row r="1611" ht="15.75" customHeight="1">
      <c r="A1611" s="34"/>
      <c r="B1611" s="34"/>
      <c r="C1611" s="34"/>
      <c r="D1611" s="212"/>
      <c r="E1611" s="34"/>
      <c r="F1611" s="213"/>
      <c r="G1611" s="213"/>
      <c r="H1611" s="34"/>
      <c r="I1611" s="214"/>
      <c r="J1611" s="214"/>
      <c r="K1611" s="34"/>
      <c r="L1611" s="34"/>
      <c r="M1611" s="34"/>
      <c r="N1611" s="34"/>
      <c r="O1611" s="34"/>
      <c r="P1611" s="34"/>
      <c r="Q1611" s="34"/>
      <c r="R1611" s="34"/>
      <c r="S1611" s="34"/>
      <c r="T1611" s="34"/>
      <c r="U1611" s="34"/>
      <c r="V1611" s="34"/>
      <c r="W1611" s="34"/>
      <c r="X1611" s="34"/>
      <c r="Y1611" s="34"/>
      <c r="Z1611" s="34"/>
    </row>
    <row r="1612" ht="15.75" customHeight="1">
      <c r="A1612" s="34"/>
      <c r="B1612" s="34"/>
      <c r="C1612" s="34"/>
      <c r="D1612" s="212"/>
      <c r="E1612" s="34"/>
      <c r="F1612" s="213"/>
      <c r="G1612" s="213"/>
      <c r="H1612" s="34"/>
      <c r="I1612" s="214"/>
      <c r="J1612" s="214"/>
      <c r="K1612" s="34"/>
      <c r="L1612" s="34"/>
      <c r="M1612" s="34"/>
      <c r="N1612" s="34"/>
      <c r="O1612" s="34"/>
      <c r="P1612" s="34"/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</row>
    <row r="1613" ht="15.75" customHeight="1">
      <c r="A1613" s="34"/>
      <c r="B1613" s="34"/>
      <c r="C1613" s="34"/>
      <c r="D1613" s="212"/>
      <c r="E1613" s="34"/>
      <c r="F1613" s="213"/>
      <c r="G1613" s="213"/>
      <c r="H1613" s="34"/>
      <c r="I1613" s="214"/>
      <c r="J1613" s="214"/>
      <c r="K1613" s="34"/>
      <c r="L1613" s="34"/>
      <c r="M1613" s="34"/>
      <c r="N1613" s="34"/>
      <c r="O1613" s="34"/>
      <c r="P1613" s="34"/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</row>
    <row r="1614" ht="15.75" customHeight="1">
      <c r="A1614" s="34"/>
      <c r="B1614" s="34"/>
      <c r="C1614" s="34"/>
      <c r="D1614" s="212"/>
      <c r="E1614" s="34"/>
      <c r="F1614" s="213"/>
      <c r="G1614" s="213"/>
      <c r="H1614" s="34"/>
      <c r="I1614" s="214"/>
      <c r="J1614" s="214"/>
      <c r="K1614" s="34"/>
      <c r="L1614" s="34"/>
      <c r="M1614" s="34"/>
      <c r="N1614" s="34"/>
      <c r="O1614" s="34"/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</row>
    <row r="1615" ht="15.75" customHeight="1">
      <c r="A1615" s="34"/>
      <c r="B1615" s="34"/>
      <c r="C1615" s="34"/>
      <c r="D1615" s="212"/>
      <c r="E1615" s="34"/>
      <c r="F1615" s="213"/>
      <c r="G1615" s="213"/>
      <c r="H1615" s="34"/>
      <c r="I1615" s="214"/>
      <c r="J1615" s="214"/>
      <c r="K1615" s="34"/>
      <c r="L1615" s="34"/>
      <c r="M1615" s="34"/>
      <c r="N1615" s="34"/>
      <c r="O1615" s="34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</row>
    <row r="1616" ht="15.75" customHeight="1">
      <c r="A1616" s="34"/>
      <c r="B1616" s="34"/>
      <c r="C1616" s="34"/>
      <c r="D1616" s="212"/>
      <c r="E1616" s="34"/>
      <c r="F1616" s="213"/>
      <c r="G1616" s="213"/>
      <c r="H1616" s="34"/>
      <c r="I1616" s="214"/>
      <c r="J1616" s="214"/>
      <c r="K1616" s="34"/>
      <c r="L1616" s="34"/>
      <c r="M1616" s="34"/>
      <c r="N1616" s="34"/>
      <c r="O1616" s="34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</row>
    <row r="1617" ht="15.75" customHeight="1">
      <c r="A1617" s="34"/>
      <c r="B1617" s="34"/>
      <c r="C1617" s="34"/>
      <c r="D1617" s="212"/>
      <c r="E1617" s="34"/>
      <c r="F1617" s="213"/>
      <c r="G1617" s="213"/>
      <c r="H1617" s="34"/>
      <c r="I1617" s="214"/>
      <c r="J1617" s="214"/>
      <c r="K1617" s="34"/>
      <c r="L1617" s="34"/>
      <c r="M1617" s="34"/>
      <c r="N1617" s="34"/>
      <c r="O1617" s="34"/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</row>
    <row r="1618" ht="15.75" customHeight="1">
      <c r="A1618" s="34"/>
      <c r="B1618" s="34"/>
      <c r="C1618" s="34"/>
      <c r="D1618" s="212"/>
      <c r="E1618" s="34"/>
      <c r="F1618" s="213"/>
      <c r="G1618" s="213"/>
      <c r="H1618" s="34"/>
      <c r="I1618" s="214"/>
      <c r="J1618" s="214"/>
      <c r="K1618" s="34"/>
      <c r="L1618" s="34"/>
      <c r="M1618" s="34"/>
      <c r="N1618" s="34"/>
      <c r="O1618" s="34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</row>
    <row r="1619" ht="15.75" customHeight="1">
      <c r="A1619" s="34"/>
      <c r="B1619" s="34"/>
      <c r="C1619" s="34"/>
      <c r="D1619" s="212"/>
      <c r="E1619" s="34"/>
      <c r="F1619" s="213"/>
      <c r="G1619" s="213"/>
      <c r="H1619" s="34"/>
      <c r="I1619" s="214"/>
      <c r="J1619" s="214"/>
      <c r="K1619" s="34"/>
      <c r="L1619" s="34"/>
      <c r="M1619" s="34"/>
      <c r="N1619" s="34"/>
      <c r="O1619" s="34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</row>
    <row r="1620" ht="15.75" customHeight="1">
      <c r="A1620" s="34"/>
      <c r="B1620" s="34"/>
      <c r="C1620" s="34"/>
      <c r="D1620" s="212"/>
      <c r="E1620" s="34"/>
      <c r="F1620" s="213"/>
      <c r="G1620" s="213"/>
      <c r="H1620" s="34"/>
      <c r="I1620" s="214"/>
      <c r="J1620" s="214"/>
      <c r="K1620" s="34"/>
      <c r="L1620" s="34"/>
      <c r="M1620" s="34"/>
      <c r="N1620" s="34"/>
      <c r="O1620" s="34"/>
      <c r="P1620" s="34"/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</row>
    <row r="1621" ht="15.75" customHeight="1">
      <c r="A1621" s="34"/>
      <c r="B1621" s="34"/>
      <c r="C1621" s="34"/>
      <c r="D1621" s="212"/>
      <c r="E1621" s="34"/>
      <c r="F1621" s="213"/>
      <c r="G1621" s="213"/>
      <c r="H1621" s="34"/>
      <c r="I1621" s="214"/>
      <c r="J1621" s="214"/>
      <c r="K1621" s="34"/>
      <c r="L1621" s="34"/>
      <c r="M1621" s="34"/>
      <c r="N1621" s="34"/>
      <c r="O1621" s="34"/>
      <c r="P1621" s="34"/>
      <c r="Q1621" s="34"/>
      <c r="R1621" s="34"/>
      <c r="S1621" s="34"/>
      <c r="T1621" s="34"/>
      <c r="U1621" s="34"/>
      <c r="V1621" s="34"/>
      <c r="W1621" s="34"/>
      <c r="X1621" s="34"/>
      <c r="Y1621" s="34"/>
      <c r="Z1621" s="34"/>
    </row>
    <row r="1622" ht="15.75" customHeight="1">
      <c r="A1622" s="34"/>
      <c r="B1622" s="34"/>
      <c r="C1622" s="34"/>
      <c r="D1622" s="212"/>
      <c r="E1622" s="34"/>
      <c r="F1622" s="213"/>
      <c r="G1622" s="213"/>
      <c r="H1622" s="34"/>
      <c r="I1622" s="214"/>
      <c r="J1622" s="214"/>
      <c r="K1622" s="34"/>
      <c r="L1622" s="34"/>
      <c r="M1622" s="34"/>
      <c r="N1622" s="34"/>
      <c r="O1622" s="34"/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</row>
    <row r="1623" ht="15.75" customHeight="1">
      <c r="A1623" s="34"/>
      <c r="B1623" s="34"/>
      <c r="C1623" s="34"/>
      <c r="D1623" s="212"/>
      <c r="E1623" s="34"/>
      <c r="F1623" s="213"/>
      <c r="G1623" s="213"/>
      <c r="H1623" s="34"/>
      <c r="I1623" s="214"/>
      <c r="J1623" s="214"/>
      <c r="K1623" s="34"/>
      <c r="L1623" s="34"/>
      <c r="M1623" s="34"/>
      <c r="N1623" s="34"/>
      <c r="O1623" s="34"/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</row>
    <row r="1624" ht="15.75" customHeight="1">
      <c r="A1624" s="34"/>
      <c r="B1624" s="34"/>
      <c r="C1624" s="34"/>
      <c r="D1624" s="212"/>
      <c r="E1624" s="34"/>
      <c r="F1624" s="213"/>
      <c r="G1624" s="213"/>
      <c r="H1624" s="34"/>
      <c r="I1624" s="214"/>
      <c r="J1624" s="214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</row>
    <row r="1625" ht="15.75" customHeight="1">
      <c r="A1625" s="34"/>
      <c r="B1625" s="34"/>
      <c r="C1625" s="34"/>
      <c r="D1625" s="212"/>
      <c r="E1625" s="34"/>
      <c r="F1625" s="213"/>
      <c r="G1625" s="213"/>
      <c r="H1625" s="34"/>
      <c r="I1625" s="214"/>
      <c r="J1625" s="21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</row>
    <row r="1626" ht="15.75" customHeight="1">
      <c r="A1626" s="34"/>
      <c r="B1626" s="34"/>
      <c r="C1626" s="34"/>
      <c r="D1626" s="212"/>
      <c r="E1626" s="34"/>
      <c r="F1626" s="213"/>
      <c r="G1626" s="213"/>
      <c r="H1626" s="34"/>
      <c r="I1626" s="214"/>
      <c r="J1626" s="214"/>
      <c r="K1626" s="34"/>
      <c r="L1626" s="34"/>
      <c r="M1626" s="34"/>
      <c r="N1626" s="34"/>
      <c r="O1626" s="34"/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</row>
    <row r="1627" ht="15.75" customHeight="1">
      <c r="A1627" s="34"/>
      <c r="B1627" s="34"/>
      <c r="C1627" s="34"/>
      <c r="D1627" s="212"/>
      <c r="E1627" s="34"/>
      <c r="F1627" s="213"/>
      <c r="G1627" s="213"/>
      <c r="H1627" s="34"/>
      <c r="I1627" s="214"/>
      <c r="J1627" s="214"/>
      <c r="K1627" s="34"/>
      <c r="L1627" s="34"/>
      <c r="M1627" s="34"/>
      <c r="N1627" s="34"/>
      <c r="O1627" s="34"/>
      <c r="P1627" s="34"/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</row>
    <row r="1628" ht="15.75" customHeight="1">
      <c r="A1628" s="34"/>
      <c r="B1628" s="34"/>
      <c r="C1628" s="34"/>
      <c r="D1628" s="212"/>
      <c r="E1628" s="34"/>
      <c r="F1628" s="213"/>
      <c r="G1628" s="213"/>
      <c r="H1628" s="34"/>
      <c r="I1628" s="214"/>
      <c r="J1628" s="21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</row>
    <row r="1629" ht="15.75" customHeight="1">
      <c r="A1629" s="34"/>
      <c r="B1629" s="34"/>
      <c r="C1629" s="34"/>
      <c r="D1629" s="212"/>
      <c r="E1629" s="34"/>
      <c r="F1629" s="213"/>
      <c r="G1629" s="213"/>
      <c r="H1629" s="34"/>
      <c r="I1629" s="214"/>
      <c r="J1629" s="21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</row>
    <row r="1630" ht="15.75" customHeight="1">
      <c r="A1630" s="34"/>
      <c r="B1630" s="34"/>
      <c r="C1630" s="34"/>
      <c r="D1630" s="212"/>
      <c r="E1630" s="34"/>
      <c r="F1630" s="213"/>
      <c r="G1630" s="213"/>
      <c r="H1630" s="34"/>
      <c r="I1630" s="214"/>
      <c r="J1630" s="214"/>
      <c r="K1630" s="34"/>
      <c r="L1630" s="34"/>
      <c r="M1630" s="34"/>
      <c r="N1630" s="34"/>
      <c r="O1630" s="34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</row>
    <row r="1631" ht="15.75" customHeight="1">
      <c r="A1631" s="34"/>
      <c r="B1631" s="34"/>
      <c r="C1631" s="34"/>
      <c r="D1631" s="212"/>
      <c r="E1631" s="34"/>
      <c r="F1631" s="213"/>
      <c r="G1631" s="213"/>
      <c r="H1631" s="34"/>
      <c r="I1631" s="214"/>
      <c r="J1631" s="214"/>
      <c r="K1631" s="34"/>
      <c r="L1631" s="34"/>
      <c r="M1631" s="34"/>
      <c r="N1631" s="34"/>
      <c r="O1631" s="34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</row>
    <row r="1632" ht="15.75" customHeight="1">
      <c r="A1632" s="34"/>
      <c r="B1632" s="34"/>
      <c r="C1632" s="34"/>
      <c r="D1632" s="212"/>
      <c r="E1632" s="34"/>
      <c r="F1632" s="213"/>
      <c r="G1632" s="213"/>
      <c r="H1632" s="34"/>
      <c r="I1632" s="214"/>
      <c r="J1632" s="214"/>
      <c r="K1632" s="34"/>
      <c r="L1632" s="34"/>
      <c r="M1632" s="34"/>
      <c r="N1632" s="34"/>
      <c r="O1632" s="34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</row>
    <row r="1633" ht="15.75" customHeight="1">
      <c r="A1633" s="34"/>
      <c r="B1633" s="34"/>
      <c r="C1633" s="34"/>
      <c r="D1633" s="212"/>
      <c r="E1633" s="34"/>
      <c r="F1633" s="213"/>
      <c r="G1633" s="213"/>
      <c r="H1633" s="34"/>
      <c r="I1633" s="214"/>
      <c r="J1633" s="214"/>
      <c r="K1633" s="34"/>
      <c r="L1633" s="34"/>
      <c r="M1633" s="34"/>
      <c r="N1633" s="34"/>
      <c r="O1633" s="34"/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</row>
    <row r="1634" ht="15.75" customHeight="1">
      <c r="A1634" s="34"/>
      <c r="B1634" s="34"/>
      <c r="C1634" s="34"/>
      <c r="D1634" s="212"/>
      <c r="E1634" s="34"/>
      <c r="F1634" s="213"/>
      <c r="G1634" s="213"/>
      <c r="H1634" s="34"/>
      <c r="I1634" s="214"/>
      <c r="J1634" s="214"/>
      <c r="K1634" s="34"/>
      <c r="L1634" s="34"/>
      <c r="M1634" s="34"/>
      <c r="N1634" s="34"/>
      <c r="O1634" s="34"/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</row>
    <row r="1635" ht="15.75" customHeight="1">
      <c r="A1635" s="34"/>
      <c r="B1635" s="34"/>
      <c r="C1635" s="34"/>
      <c r="D1635" s="212"/>
      <c r="E1635" s="34"/>
      <c r="F1635" s="213"/>
      <c r="G1635" s="213"/>
      <c r="H1635" s="34"/>
      <c r="I1635" s="214"/>
      <c r="J1635" s="214"/>
      <c r="K1635" s="34"/>
      <c r="L1635" s="34"/>
      <c r="M1635" s="34"/>
      <c r="N1635" s="34"/>
      <c r="O1635" s="34"/>
      <c r="P1635" s="34"/>
      <c r="Q1635" s="34"/>
      <c r="R1635" s="34"/>
      <c r="S1635" s="34"/>
      <c r="T1635" s="34"/>
      <c r="U1635" s="34"/>
      <c r="V1635" s="34"/>
      <c r="W1635" s="34"/>
      <c r="X1635" s="34"/>
      <c r="Y1635" s="34"/>
      <c r="Z1635" s="34"/>
    </row>
    <row r="1636" ht="15.75" customHeight="1">
      <c r="A1636" s="34"/>
      <c r="B1636" s="34"/>
      <c r="C1636" s="34"/>
      <c r="D1636" s="212"/>
      <c r="E1636" s="34"/>
      <c r="F1636" s="213"/>
      <c r="G1636" s="213"/>
      <c r="H1636" s="34"/>
      <c r="I1636" s="214"/>
      <c r="J1636" s="21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</row>
    <row r="1637" ht="15.75" customHeight="1">
      <c r="A1637" s="34"/>
      <c r="B1637" s="34"/>
      <c r="C1637" s="34"/>
      <c r="D1637" s="212"/>
      <c r="E1637" s="34"/>
      <c r="F1637" s="213"/>
      <c r="G1637" s="213"/>
      <c r="H1637" s="34"/>
      <c r="I1637" s="214"/>
      <c r="J1637" s="214"/>
      <c r="K1637" s="34"/>
      <c r="L1637" s="34"/>
      <c r="M1637" s="34"/>
      <c r="N1637" s="34"/>
      <c r="O1637" s="34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</row>
    <row r="1638" ht="15.75" customHeight="1">
      <c r="A1638" s="34"/>
      <c r="B1638" s="34"/>
      <c r="C1638" s="34"/>
      <c r="D1638" s="212"/>
      <c r="E1638" s="34"/>
      <c r="F1638" s="213"/>
      <c r="G1638" s="213"/>
      <c r="H1638" s="34"/>
      <c r="I1638" s="214"/>
      <c r="J1638" s="214"/>
      <c r="K1638" s="34"/>
      <c r="L1638" s="34"/>
      <c r="M1638" s="34"/>
      <c r="N1638" s="34"/>
      <c r="O1638" s="34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</row>
    <row r="1639" ht="15.75" customHeight="1">
      <c r="A1639" s="34"/>
      <c r="B1639" s="34"/>
      <c r="C1639" s="34"/>
      <c r="D1639" s="212"/>
      <c r="E1639" s="34"/>
      <c r="F1639" s="213"/>
      <c r="G1639" s="213"/>
      <c r="H1639" s="34"/>
      <c r="I1639" s="214"/>
      <c r="J1639" s="214"/>
      <c r="K1639" s="34"/>
      <c r="L1639" s="34"/>
      <c r="M1639" s="34"/>
      <c r="N1639" s="34"/>
      <c r="O1639" s="34"/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</row>
    <row r="1640" ht="15.75" customHeight="1">
      <c r="A1640" s="34"/>
      <c r="B1640" s="34"/>
      <c r="C1640" s="34"/>
      <c r="D1640" s="212"/>
      <c r="E1640" s="34"/>
      <c r="F1640" s="213"/>
      <c r="G1640" s="213"/>
      <c r="H1640" s="34"/>
      <c r="I1640" s="214"/>
      <c r="J1640" s="214"/>
      <c r="K1640" s="34"/>
      <c r="L1640" s="34"/>
      <c r="M1640" s="34"/>
      <c r="N1640" s="34"/>
      <c r="O1640" s="34"/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</row>
    <row r="1641" ht="15.75" customHeight="1">
      <c r="A1641" s="34"/>
      <c r="B1641" s="34"/>
      <c r="C1641" s="34"/>
      <c r="D1641" s="212"/>
      <c r="E1641" s="34"/>
      <c r="F1641" s="213"/>
      <c r="G1641" s="213"/>
      <c r="H1641" s="34"/>
      <c r="I1641" s="214"/>
      <c r="J1641" s="214"/>
      <c r="K1641" s="34"/>
      <c r="L1641" s="34"/>
      <c r="M1641" s="34"/>
      <c r="N1641" s="34"/>
      <c r="O1641" s="34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</row>
    <row r="1642" ht="15.75" customHeight="1">
      <c r="A1642" s="34"/>
      <c r="B1642" s="34"/>
      <c r="C1642" s="34"/>
      <c r="D1642" s="212"/>
      <c r="E1642" s="34"/>
      <c r="F1642" s="213"/>
      <c r="G1642" s="213"/>
      <c r="H1642" s="34"/>
      <c r="I1642" s="214"/>
      <c r="J1642" s="21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</row>
    <row r="1643" ht="15.75" customHeight="1">
      <c r="A1643" s="34"/>
      <c r="B1643" s="34"/>
      <c r="C1643" s="34"/>
      <c r="D1643" s="212"/>
      <c r="E1643" s="34"/>
      <c r="F1643" s="213"/>
      <c r="G1643" s="213"/>
      <c r="H1643" s="34"/>
      <c r="I1643" s="214"/>
      <c r="J1643" s="214"/>
      <c r="K1643" s="34"/>
      <c r="L1643" s="34"/>
      <c r="M1643" s="34"/>
      <c r="N1643" s="34"/>
      <c r="O1643" s="34"/>
      <c r="P1643" s="34"/>
      <c r="Q1643" s="34"/>
      <c r="R1643" s="34"/>
      <c r="S1643" s="34"/>
      <c r="T1643" s="34"/>
      <c r="U1643" s="34"/>
      <c r="V1643" s="34"/>
      <c r="W1643" s="34"/>
      <c r="X1643" s="34"/>
      <c r="Y1643" s="34"/>
      <c r="Z1643" s="34"/>
    </row>
    <row r="1644" ht="15.75" customHeight="1">
      <c r="A1644" s="34"/>
      <c r="B1644" s="34"/>
      <c r="C1644" s="34"/>
      <c r="D1644" s="212"/>
      <c r="E1644" s="34"/>
      <c r="F1644" s="213"/>
      <c r="G1644" s="213"/>
      <c r="H1644" s="34"/>
      <c r="I1644" s="214"/>
      <c r="J1644" s="214"/>
      <c r="K1644" s="34"/>
      <c r="L1644" s="34"/>
      <c r="M1644" s="34"/>
      <c r="N1644" s="34"/>
      <c r="O1644" s="34"/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</row>
    <row r="1645" ht="15.75" customHeight="1">
      <c r="A1645" s="34"/>
      <c r="B1645" s="34"/>
      <c r="C1645" s="34"/>
      <c r="D1645" s="212"/>
      <c r="E1645" s="34"/>
      <c r="F1645" s="213"/>
      <c r="G1645" s="213"/>
      <c r="H1645" s="34"/>
      <c r="I1645" s="214"/>
      <c r="J1645" s="214"/>
      <c r="K1645" s="34"/>
      <c r="L1645" s="34"/>
      <c r="M1645" s="34"/>
      <c r="N1645" s="34"/>
      <c r="O1645" s="34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</row>
    <row r="1646" ht="15.75" customHeight="1">
      <c r="A1646" s="34"/>
      <c r="B1646" s="34"/>
      <c r="C1646" s="34"/>
      <c r="D1646" s="212"/>
      <c r="E1646" s="34"/>
      <c r="F1646" s="213"/>
      <c r="G1646" s="213"/>
      <c r="H1646" s="34"/>
      <c r="I1646" s="214"/>
      <c r="J1646" s="214"/>
      <c r="K1646" s="34"/>
      <c r="L1646" s="34"/>
      <c r="M1646" s="34"/>
      <c r="N1646" s="34"/>
      <c r="O1646" s="34"/>
      <c r="P1646" s="34"/>
      <c r="Q1646" s="34"/>
      <c r="R1646" s="34"/>
      <c r="S1646" s="34"/>
      <c r="T1646" s="34"/>
      <c r="U1646" s="34"/>
      <c r="V1646" s="34"/>
      <c r="W1646" s="34"/>
      <c r="X1646" s="34"/>
      <c r="Y1646" s="34"/>
      <c r="Z1646" s="34"/>
    </row>
    <row r="1647" ht="15.75" customHeight="1">
      <c r="A1647" s="34"/>
      <c r="B1647" s="34"/>
      <c r="C1647" s="34"/>
      <c r="D1647" s="212"/>
      <c r="E1647" s="34"/>
      <c r="F1647" s="213"/>
      <c r="G1647" s="213"/>
      <c r="H1647" s="34"/>
      <c r="I1647" s="214"/>
      <c r="J1647" s="21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</row>
    <row r="1648" ht="15.75" customHeight="1">
      <c r="A1648" s="34"/>
      <c r="B1648" s="34"/>
      <c r="C1648" s="34"/>
      <c r="D1648" s="212"/>
      <c r="E1648" s="34"/>
      <c r="F1648" s="213"/>
      <c r="G1648" s="213"/>
      <c r="H1648" s="34"/>
      <c r="I1648" s="214"/>
      <c r="J1648" s="21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</row>
    <row r="1649" ht="15.75" customHeight="1">
      <c r="A1649" s="34"/>
      <c r="B1649" s="34"/>
      <c r="C1649" s="34"/>
      <c r="D1649" s="212"/>
      <c r="E1649" s="34"/>
      <c r="F1649" s="213"/>
      <c r="G1649" s="213"/>
      <c r="H1649" s="34"/>
      <c r="I1649" s="214"/>
      <c r="J1649" s="21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</row>
    <row r="1650" ht="15.75" customHeight="1">
      <c r="A1650" s="34"/>
      <c r="B1650" s="34"/>
      <c r="C1650" s="34"/>
      <c r="D1650" s="212"/>
      <c r="E1650" s="34"/>
      <c r="F1650" s="213"/>
      <c r="G1650" s="213"/>
      <c r="H1650" s="34"/>
      <c r="I1650" s="214"/>
      <c r="J1650" s="214"/>
      <c r="K1650" s="34"/>
      <c r="L1650" s="34"/>
      <c r="M1650" s="34"/>
      <c r="N1650" s="34"/>
      <c r="O1650" s="34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</row>
    <row r="1651" ht="15.75" customHeight="1">
      <c r="A1651" s="34"/>
      <c r="B1651" s="34"/>
      <c r="C1651" s="34"/>
      <c r="D1651" s="212"/>
      <c r="E1651" s="34"/>
      <c r="F1651" s="213"/>
      <c r="G1651" s="213"/>
      <c r="H1651" s="34"/>
      <c r="I1651" s="214"/>
      <c r="J1651" s="21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</row>
    <row r="1652" ht="15.75" customHeight="1">
      <c r="A1652" s="34"/>
      <c r="B1652" s="34"/>
      <c r="C1652" s="34"/>
      <c r="D1652" s="212"/>
      <c r="E1652" s="34"/>
      <c r="F1652" s="213"/>
      <c r="G1652" s="213"/>
      <c r="H1652" s="34"/>
      <c r="I1652" s="214"/>
      <c r="J1652" s="21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</row>
    <row r="1653" ht="15.75" customHeight="1">
      <c r="A1653" s="34"/>
      <c r="B1653" s="34"/>
      <c r="C1653" s="34"/>
      <c r="D1653" s="212"/>
      <c r="E1653" s="34"/>
      <c r="F1653" s="213"/>
      <c r="G1653" s="213"/>
      <c r="H1653" s="34"/>
      <c r="I1653" s="214"/>
      <c r="J1653" s="21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</row>
    <row r="1654" ht="15.75" customHeight="1">
      <c r="A1654" s="34"/>
      <c r="B1654" s="34"/>
      <c r="C1654" s="34"/>
      <c r="D1654" s="212"/>
      <c r="E1654" s="34"/>
      <c r="F1654" s="213"/>
      <c r="G1654" s="213"/>
      <c r="H1654" s="34"/>
      <c r="I1654" s="214"/>
      <c r="J1654" s="21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</row>
    <row r="1655" ht="15.75" customHeight="1">
      <c r="A1655" s="34"/>
      <c r="B1655" s="34"/>
      <c r="C1655" s="34"/>
      <c r="D1655" s="212"/>
      <c r="E1655" s="34"/>
      <c r="F1655" s="213"/>
      <c r="G1655" s="213"/>
      <c r="H1655" s="34"/>
      <c r="I1655" s="214"/>
      <c r="J1655" s="21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</row>
    <row r="1656" ht="15.75" customHeight="1">
      <c r="A1656" s="34"/>
      <c r="B1656" s="34"/>
      <c r="C1656" s="34"/>
      <c r="D1656" s="212"/>
      <c r="E1656" s="34"/>
      <c r="F1656" s="213"/>
      <c r="G1656" s="213"/>
      <c r="H1656" s="34"/>
      <c r="I1656" s="214"/>
      <c r="J1656" s="21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</row>
    <row r="1657" ht="15.75" customHeight="1">
      <c r="A1657" s="34"/>
      <c r="B1657" s="34"/>
      <c r="C1657" s="34"/>
      <c r="D1657" s="212"/>
      <c r="E1657" s="34"/>
      <c r="F1657" s="213"/>
      <c r="G1657" s="213"/>
      <c r="H1657" s="34"/>
      <c r="I1657" s="214"/>
      <c r="J1657" s="21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</row>
    <row r="1658" ht="15.75" customHeight="1">
      <c r="A1658" s="34"/>
      <c r="B1658" s="34"/>
      <c r="C1658" s="34"/>
      <c r="D1658" s="212"/>
      <c r="E1658" s="34"/>
      <c r="F1658" s="213"/>
      <c r="G1658" s="213"/>
      <c r="H1658" s="34"/>
      <c r="I1658" s="214"/>
      <c r="J1658" s="21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</row>
    <row r="1659" ht="15.75" customHeight="1">
      <c r="A1659" s="34"/>
      <c r="B1659" s="34"/>
      <c r="C1659" s="34"/>
      <c r="D1659" s="212"/>
      <c r="E1659" s="34"/>
      <c r="F1659" s="213"/>
      <c r="G1659" s="213"/>
      <c r="H1659" s="34"/>
      <c r="I1659" s="214"/>
      <c r="J1659" s="21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</row>
    <row r="1660" ht="15.75" customHeight="1">
      <c r="A1660" s="34"/>
      <c r="B1660" s="34"/>
      <c r="C1660" s="34"/>
      <c r="D1660" s="212"/>
      <c r="E1660" s="34"/>
      <c r="F1660" s="213"/>
      <c r="G1660" s="213"/>
      <c r="H1660" s="34"/>
      <c r="I1660" s="214"/>
      <c r="J1660" s="21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</row>
    <row r="1661" ht="15.75" customHeight="1">
      <c r="A1661" s="34"/>
      <c r="B1661" s="34"/>
      <c r="C1661" s="34"/>
      <c r="D1661" s="212"/>
      <c r="E1661" s="34"/>
      <c r="F1661" s="213"/>
      <c r="G1661" s="213"/>
      <c r="H1661" s="34"/>
      <c r="I1661" s="214"/>
      <c r="J1661" s="21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</row>
    <row r="1662" ht="15.75" customHeight="1">
      <c r="A1662" s="34"/>
      <c r="B1662" s="34"/>
      <c r="C1662" s="34"/>
      <c r="D1662" s="212"/>
      <c r="E1662" s="34"/>
      <c r="F1662" s="213"/>
      <c r="G1662" s="213"/>
      <c r="H1662" s="34"/>
      <c r="I1662" s="214"/>
      <c r="J1662" s="21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</row>
    <row r="1663" ht="15.75" customHeight="1">
      <c r="A1663" s="34"/>
      <c r="B1663" s="34"/>
      <c r="C1663" s="34"/>
      <c r="D1663" s="212"/>
      <c r="E1663" s="34"/>
      <c r="F1663" s="213"/>
      <c r="G1663" s="213"/>
      <c r="H1663" s="34"/>
      <c r="I1663" s="214"/>
      <c r="J1663" s="21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</row>
    <row r="1664" ht="15.75" customHeight="1">
      <c r="A1664" s="34"/>
      <c r="B1664" s="34"/>
      <c r="C1664" s="34"/>
      <c r="D1664" s="212"/>
      <c r="E1664" s="34"/>
      <c r="F1664" s="213"/>
      <c r="G1664" s="213"/>
      <c r="H1664" s="34"/>
      <c r="I1664" s="214"/>
      <c r="J1664" s="21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</row>
    <row r="1665" ht="15.75" customHeight="1">
      <c r="A1665" s="34"/>
      <c r="B1665" s="34"/>
      <c r="C1665" s="34"/>
      <c r="D1665" s="212"/>
      <c r="E1665" s="34"/>
      <c r="F1665" s="213"/>
      <c r="G1665" s="213"/>
      <c r="H1665" s="34"/>
      <c r="I1665" s="214"/>
      <c r="J1665" s="21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</row>
    <row r="1666" ht="15.75" customHeight="1">
      <c r="A1666" s="34"/>
      <c r="B1666" s="34"/>
      <c r="C1666" s="34"/>
      <c r="D1666" s="212"/>
      <c r="E1666" s="34"/>
      <c r="F1666" s="213"/>
      <c r="G1666" s="213"/>
      <c r="H1666" s="34"/>
      <c r="I1666" s="214"/>
      <c r="J1666" s="21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</row>
    <row r="1667" ht="15.75" customHeight="1">
      <c r="A1667" s="34"/>
      <c r="B1667" s="34"/>
      <c r="C1667" s="34"/>
      <c r="D1667" s="212"/>
      <c r="E1667" s="34"/>
      <c r="F1667" s="213"/>
      <c r="G1667" s="213"/>
      <c r="H1667" s="34"/>
      <c r="I1667" s="214"/>
      <c r="J1667" s="21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</row>
    <row r="1668" ht="15.75" customHeight="1">
      <c r="A1668" s="34"/>
      <c r="B1668" s="34"/>
      <c r="C1668" s="34"/>
      <c r="D1668" s="212"/>
      <c r="E1668" s="34"/>
      <c r="F1668" s="213"/>
      <c r="G1668" s="213"/>
      <c r="H1668" s="34"/>
      <c r="I1668" s="214"/>
      <c r="J1668" s="21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</row>
    <row r="1669" ht="15.75" customHeight="1">
      <c r="A1669" s="34"/>
      <c r="B1669" s="34"/>
      <c r="C1669" s="34"/>
      <c r="D1669" s="212"/>
      <c r="E1669" s="34"/>
      <c r="F1669" s="213"/>
      <c r="G1669" s="213"/>
      <c r="H1669" s="34"/>
      <c r="I1669" s="214"/>
      <c r="J1669" s="21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</row>
    <row r="1670" ht="15.75" customHeight="1">
      <c r="A1670" s="34"/>
      <c r="B1670" s="34"/>
      <c r="C1670" s="34"/>
      <c r="D1670" s="212"/>
      <c r="E1670" s="34"/>
      <c r="F1670" s="213"/>
      <c r="G1670" s="213"/>
      <c r="H1670" s="34"/>
      <c r="I1670" s="214"/>
      <c r="J1670" s="21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</row>
    <row r="1671" ht="15.75" customHeight="1">
      <c r="A1671" s="34"/>
      <c r="B1671" s="34"/>
      <c r="C1671" s="34"/>
      <c r="D1671" s="212"/>
      <c r="E1671" s="34"/>
      <c r="F1671" s="213"/>
      <c r="G1671" s="213"/>
      <c r="H1671" s="34"/>
      <c r="I1671" s="214"/>
      <c r="J1671" s="21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</row>
    <row r="1672" ht="15.75" customHeight="1">
      <c r="A1672" s="34"/>
      <c r="B1672" s="34"/>
      <c r="C1672" s="34"/>
      <c r="D1672" s="212"/>
      <c r="E1672" s="34"/>
      <c r="F1672" s="213"/>
      <c r="G1672" s="213"/>
      <c r="H1672" s="34"/>
      <c r="I1672" s="214"/>
      <c r="J1672" s="21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</row>
    <row r="1673" ht="15.75" customHeight="1">
      <c r="A1673" s="34"/>
      <c r="B1673" s="34"/>
      <c r="C1673" s="34"/>
      <c r="D1673" s="212"/>
      <c r="E1673" s="34"/>
      <c r="F1673" s="213"/>
      <c r="G1673" s="213"/>
      <c r="H1673" s="34"/>
      <c r="I1673" s="214"/>
      <c r="J1673" s="21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</row>
    <row r="1674" ht="15.75" customHeight="1">
      <c r="A1674" s="34"/>
      <c r="B1674" s="34"/>
      <c r="C1674" s="34"/>
      <c r="D1674" s="212"/>
      <c r="E1674" s="34"/>
      <c r="F1674" s="213"/>
      <c r="G1674" s="213"/>
      <c r="H1674" s="34"/>
      <c r="I1674" s="214"/>
      <c r="J1674" s="21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</row>
    <row r="1675" ht="15.75" customHeight="1">
      <c r="A1675" s="34"/>
      <c r="B1675" s="34"/>
      <c r="C1675" s="34"/>
      <c r="D1675" s="212"/>
      <c r="E1675" s="34"/>
      <c r="F1675" s="213"/>
      <c r="G1675" s="213"/>
      <c r="H1675" s="34"/>
      <c r="I1675" s="214"/>
      <c r="J1675" s="21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</row>
    <row r="1676" ht="15.75" customHeight="1">
      <c r="A1676" s="34"/>
      <c r="B1676" s="34"/>
      <c r="C1676" s="34"/>
      <c r="D1676" s="212"/>
      <c r="E1676" s="34"/>
      <c r="F1676" s="213"/>
      <c r="G1676" s="213"/>
      <c r="H1676" s="34"/>
      <c r="I1676" s="214"/>
      <c r="J1676" s="21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</row>
    <row r="1677" ht="15.75" customHeight="1">
      <c r="A1677" s="34"/>
      <c r="B1677" s="34"/>
      <c r="C1677" s="34"/>
      <c r="D1677" s="212"/>
      <c r="E1677" s="34"/>
      <c r="F1677" s="213"/>
      <c r="G1677" s="213"/>
      <c r="H1677" s="34"/>
      <c r="I1677" s="214"/>
      <c r="J1677" s="21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</row>
    <row r="1678" ht="15.75" customHeight="1">
      <c r="A1678" s="34"/>
      <c r="B1678" s="34"/>
      <c r="C1678" s="34"/>
      <c r="D1678" s="212"/>
      <c r="E1678" s="34"/>
      <c r="F1678" s="213"/>
      <c r="G1678" s="213"/>
      <c r="H1678" s="34"/>
      <c r="I1678" s="214"/>
      <c r="J1678" s="21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</row>
    <row r="1679" ht="15.75" customHeight="1">
      <c r="A1679" s="34"/>
      <c r="B1679" s="34"/>
      <c r="C1679" s="34"/>
      <c r="D1679" s="212"/>
      <c r="E1679" s="34"/>
      <c r="F1679" s="213"/>
      <c r="G1679" s="213"/>
      <c r="H1679" s="34"/>
      <c r="I1679" s="214"/>
      <c r="J1679" s="21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</row>
    <row r="1680" ht="15.75" customHeight="1">
      <c r="A1680" s="34"/>
      <c r="B1680" s="34"/>
      <c r="C1680" s="34"/>
      <c r="D1680" s="212"/>
      <c r="E1680" s="34"/>
      <c r="F1680" s="213"/>
      <c r="G1680" s="213"/>
      <c r="H1680" s="34"/>
      <c r="I1680" s="214"/>
      <c r="J1680" s="21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</row>
    <row r="1681" ht="15.75" customHeight="1">
      <c r="A1681" s="34"/>
      <c r="B1681" s="34"/>
      <c r="C1681" s="34"/>
      <c r="D1681" s="212"/>
      <c r="E1681" s="34"/>
      <c r="F1681" s="213"/>
      <c r="G1681" s="213"/>
      <c r="H1681" s="34"/>
      <c r="I1681" s="214"/>
      <c r="J1681" s="214"/>
      <c r="K1681" s="34"/>
      <c r="L1681" s="34"/>
      <c r="M1681" s="34"/>
      <c r="N1681" s="34"/>
      <c r="O1681" s="34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</row>
    <row r="1682" ht="15.75" customHeight="1">
      <c r="A1682" s="34"/>
      <c r="B1682" s="34"/>
      <c r="C1682" s="34"/>
      <c r="D1682" s="212"/>
      <c r="E1682" s="34"/>
      <c r="F1682" s="213"/>
      <c r="G1682" s="213"/>
      <c r="H1682" s="34"/>
      <c r="I1682" s="214"/>
      <c r="J1682" s="21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</row>
    <row r="1683" ht="15.75" customHeight="1">
      <c r="A1683" s="34"/>
      <c r="B1683" s="34"/>
      <c r="C1683" s="34"/>
      <c r="D1683" s="212"/>
      <c r="E1683" s="34"/>
      <c r="F1683" s="213"/>
      <c r="G1683" s="213"/>
      <c r="H1683" s="34"/>
      <c r="I1683" s="214"/>
      <c r="J1683" s="21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</row>
    <row r="1684" ht="15.75" customHeight="1">
      <c r="A1684" s="34"/>
      <c r="B1684" s="34"/>
      <c r="C1684" s="34"/>
      <c r="D1684" s="212"/>
      <c r="E1684" s="34"/>
      <c r="F1684" s="213"/>
      <c r="G1684" s="213"/>
      <c r="H1684" s="34"/>
      <c r="I1684" s="214"/>
      <c r="J1684" s="21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</row>
    <row r="1685" ht="15.75" customHeight="1">
      <c r="A1685" s="34"/>
      <c r="B1685" s="34"/>
      <c r="C1685" s="34"/>
      <c r="D1685" s="212"/>
      <c r="E1685" s="34"/>
      <c r="F1685" s="213"/>
      <c r="G1685" s="213"/>
      <c r="H1685" s="34"/>
      <c r="I1685" s="214"/>
      <c r="J1685" s="21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</row>
    <row r="1686" ht="15.75" customHeight="1">
      <c r="A1686" s="34"/>
      <c r="B1686" s="34"/>
      <c r="C1686" s="34"/>
      <c r="D1686" s="212"/>
      <c r="E1686" s="34"/>
      <c r="F1686" s="213"/>
      <c r="G1686" s="213"/>
      <c r="H1686" s="34"/>
      <c r="I1686" s="214"/>
      <c r="J1686" s="21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</row>
    <row r="1687" ht="15.75" customHeight="1">
      <c r="A1687" s="34"/>
      <c r="B1687" s="34"/>
      <c r="C1687" s="34"/>
      <c r="D1687" s="212"/>
      <c r="E1687" s="34"/>
      <c r="F1687" s="213"/>
      <c r="G1687" s="213"/>
      <c r="H1687" s="34"/>
      <c r="I1687" s="214"/>
      <c r="J1687" s="21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</row>
    <row r="1688" ht="15.75" customHeight="1">
      <c r="A1688" s="34"/>
      <c r="B1688" s="34"/>
      <c r="C1688" s="34"/>
      <c r="D1688" s="212"/>
      <c r="E1688" s="34"/>
      <c r="F1688" s="213"/>
      <c r="G1688" s="213"/>
      <c r="H1688" s="34"/>
      <c r="I1688" s="214"/>
      <c r="J1688" s="21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</row>
    <row r="1689" ht="15.75" customHeight="1">
      <c r="A1689" s="34"/>
      <c r="B1689" s="34"/>
      <c r="C1689" s="34"/>
      <c r="D1689" s="212"/>
      <c r="E1689" s="34"/>
      <c r="F1689" s="213"/>
      <c r="G1689" s="213"/>
      <c r="H1689" s="34"/>
      <c r="I1689" s="214"/>
      <c r="J1689" s="21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</row>
    <row r="1690" ht="15.75" customHeight="1">
      <c r="A1690" s="34"/>
      <c r="B1690" s="34"/>
      <c r="C1690" s="34"/>
      <c r="D1690" s="212"/>
      <c r="E1690" s="34"/>
      <c r="F1690" s="213"/>
      <c r="G1690" s="213"/>
      <c r="H1690" s="34"/>
      <c r="I1690" s="214"/>
      <c r="J1690" s="21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</row>
    <row r="1691" ht="15.75" customHeight="1">
      <c r="A1691" s="34"/>
      <c r="B1691" s="34"/>
      <c r="C1691" s="34"/>
      <c r="D1691" s="212"/>
      <c r="E1691" s="34"/>
      <c r="F1691" s="213"/>
      <c r="G1691" s="213"/>
      <c r="H1691" s="34"/>
      <c r="I1691" s="214"/>
      <c r="J1691" s="214"/>
      <c r="K1691" s="34"/>
      <c r="L1691" s="34"/>
      <c r="M1691" s="34"/>
      <c r="N1691" s="34"/>
      <c r="O1691" s="34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</row>
    <row r="1692" ht="15.75" customHeight="1">
      <c r="A1692" s="34"/>
      <c r="B1692" s="34"/>
      <c r="C1692" s="34"/>
      <c r="D1692" s="212"/>
      <c r="E1692" s="34"/>
      <c r="F1692" s="213"/>
      <c r="G1692" s="213"/>
      <c r="H1692" s="34"/>
      <c r="I1692" s="214"/>
      <c r="J1692" s="214"/>
      <c r="K1692" s="34"/>
      <c r="L1692" s="34"/>
      <c r="M1692" s="34"/>
      <c r="N1692" s="34"/>
      <c r="O1692" s="34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</row>
    <row r="1693" ht="15.75" customHeight="1">
      <c r="A1693" s="34"/>
      <c r="B1693" s="34"/>
      <c r="C1693" s="34"/>
      <c r="D1693" s="212"/>
      <c r="E1693" s="34"/>
      <c r="F1693" s="213"/>
      <c r="G1693" s="213"/>
      <c r="H1693" s="34"/>
      <c r="I1693" s="214"/>
      <c r="J1693" s="214"/>
      <c r="K1693" s="34"/>
      <c r="L1693" s="34"/>
      <c r="M1693" s="34"/>
      <c r="N1693" s="34"/>
      <c r="O1693" s="34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</row>
    <row r="1694" ht="15.75" customHeight="1">
      <c r="A1694" s="34"/>
      <c r="B1694" s="34"/>
      <c r="C1694" s="34"/>
      <c r="D1694" s="212"/>
      <c r="E1694" s="34"/>
      <c r="F1694" s="213"/>
      <c r="G1694" s="213"/>
      <c r="H1694" s="34"/>
      <c r="I1694" s="214"/>
      <c r="J1694" s="21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</row>
    <row r="1695" ht="15.75" customHeight="1">
      <c r="A1695" s="34"/>
      <c r="B1695" s="34"/>
      <c r="C1695" s="34"/>
      <c r="D1695" s="212"/>
      <c r="E1695" s="34"/>
      <c r="F1695" s="213"/>
      <c r="G1695" s="213"/>
      <c r="H1695" s="34"/>
      <c r="I1695" s="214"/>
      <c r="J1695" s="214"/>
      <c r="K1695" s="34"/>
      <c r="L1695" s="34"/>
      <c r="M1695" s="34"/>
      <c r="N1695" s="34"/>
      <c r="O1695" s="34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</row>
    <row r="1696" ht="15.75" customHeight="1">
      <c r="A1696" s="34"/>
      <c r="B1696" s="34"/>
      <c r="C1696" s="34"/>
      <c r="D1696" s="212"/>
      <c r="E1696" s="34"/>
      <c r="F1696" s="213"/>
      <c r="G1696" s="213"/>
      <c r="H1696" s="34"/>
      <c r="I1696" s="214"/>
      <c r="J1696" s="214"/>
      <c r="K1696" s="34"/>
      <c r="L1696" s="34"/>
      <c r="M1696" s="34"/>
      <c r="N1696" s="34"/>
      <c r="O1696" s="34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</row>
    <row r="1697" ht="15.75" customHeight="1">
      <c r="A1697" s="34"/>
      <c r="B1697" s="34"/>
      <c r="C1697" s="34"/>
      <c r="D1697" s="212"/>
      <c r="E1697" s="34"/>
      <c r="F1697" s="213"/>
      <c r="G1697" s="213"/>
      <c r="H1697" s="34"/>
      <c r="I1697" s="214"/>
      <c r="J1697" s="214"/>
      <c r="K1697" s="34"/>
      <c r="L1697" s="34"/>
      <c r="M1697" s="34"/>
      <c r="N1697" s="34"/>
      <c r="O1697" s="34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</row>
    <row r="1698" ht="15.75" customHeight="1">
      <c r="A1698" s="34"/>
      <c r="B1698" s="34"/>
      <c r="C1698" s="34"/>
      <c r="D1698" s="212"/>
      <c r="E1698" s="34"/>
      <c r="F1698" s="213"/>
      <c r="G1698" s="213"/>
      <c r="H1698" s="34"/>
      <c r="I1698" s="214"/>
      <c r="J1698" s="214"/>
      <c r="K1698" s="34"/>
      <c r="L1698" s="34"/>
      <c r="M1698" s="34"/>
      <c r="N1698" s="34"/>
      <c r="O1698" s="34"/>
      <c r="P1698" s="34"/>
      <c r="Q1698" s="34"/>
      <c r="R1698" s="34"/>
      <c r="S1698" s="34"/>
      <c r="T1698" s="34"/>
      <c r="U1698" s="34"/>
      <c r="V1698" s="34"/>
      <c r="W1698" s="34"/>
      <c r="X1698" s="34"/>
      <c r="Y1698" s="34"/>
      <c r="Z1698" s="34"/>
    </row>
    <row r="1699" ht="15.75" customHeight="1">
      <c r="A1699" s="34"/>
      <c r="B1699" s="34"/>
      <c r="C1699" s="34"/>
      <c r="D1699" s="212"/>
      <c r="E1699" s="34"/>
      <c r="F1699" s="213"/>
      <c r="G1699" s="213"/>
      <c r="H1699" s="34"/>
      <c r="I1699" s="214"/>
      <c r="J1699" s="214"/>
      <c r="K1699" s="34"/>
      <c r="L1699" s="34"/>
      <c r="M1699" s="34"/>
      <c r="N1699" s="34"/>
      <c r="O1699" s="34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</row>
    <row r="1700" ht="15.75" customHeight="1">
      <c r="A1700" s="34"/>
      <c r="B1700" s="34"/>
      <c r="C1700" s="34"/>
      <c r="D1700" s="212"/>
      <c r="E1700" s="34"/>
      <c r="F1700" s="213"/>
      <c r="G1700" s="213"/>
      <c r="H1700" s="34"/>
      <c r="I1700" s="214"/>
      <c r="J1700" s="214"/>
      <c r="K1700" s="34"/>
      <c r="L1700" s="34"/>
      <c r="M1700" s="34"/>
      <c r="N1700" s="34"/>
      <c r="O1700" s="34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</row>
    <row r="1701" ht="15.75" customHeight="1">
      <c r="A1701" s="34"/>
      <c r="B1701" s="34"/>
      <c r="C1701" s="34"/>
      <c r="D1701" s="212"/>
      <c r="E1701" s="34"/>
      <c r="F1701" s="213"/>
      <c r="G1701" s="213"/>
      <c r="H1701" s="34"/>
      <c r="I1701" s="214"/>
      <c r="J1701" s="21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</row>
    <row r="1702" ht="15.75" customHeight="1">
      <c r="A1702" s="34"/>
      <c r="B1702" s="34"/>
      <c r="C1702" s="34"/>
      <c r="D1702" s="212"/>
      <c r="E1702" s="34"/>
      <c r="F1702" s="213"/>
      <c r="G1702" s="213"/>
      <c r="H1702" s="34"/>
      <c r="I1702" s="214"/>
      <c r="J1702" s="214"/>
      <c r="K1702" s="34"/>
      <c r="L1702" s="34"/>
      <c r="M1702" s="34"/>
      <c r="N1702" s="34"/>
      <c r="O1702" s="34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</row>
    <row r="1703" ht="15.75" customHeight="1">
      <c r="A1703" s="34"/>
      <c r="B1703" s="34"/>
      <c r="C1703" s="34"/>
      <c r="D1703" s="212"/>
      <c r="E1703" s="34"/>
      <c r="F1703" s="213"/>
      <c r="G1703" s="213"/>
      <c r="H1703" s="34"/>
      <c r="I1703" s="214"/>
      <c r="J1703" s="214"/>
      <c r="K1703" s="34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</row>
    <row r="1704" ht="15.75" customHeight="1">
      <c r="A1704" s="34"/>
      <c r="B1704" s="34"/>
      <c r="C1704" s="34"/>
      <c r="D1704" s="212"/>
      <c r="E1704" s="34"/>
      <c r="F1704" s="213"/>
      <c r="G1704" s="213"/>
      <c r="H1704" s="34"/>
      <c r="I1704" s="214"/>
      <c r="J1704" s="214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</row>
    <row r="1705" ht="15.75" customHeight="1">
      <c r="A1705" s="34"/>
      <c r="B1705" s="34"/>
      <c r="C1705" s="34"/>
      <c r="D1705" s="212"/>
      <c r="E1705" s="34"/>
      <c r="F1705" s="213"/>
      <c r="G1705" s="213"/>
      <c r="H1705" s="34"/>
      <c r="I1705" s="214"/>
      <c r="J1705" s="21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4"/>
      <c r="U1705" s="34"/>
      <c r="V1705" s="34"/>
      <c r="W1705" s="34"/>
      <c r="X1705" s="34"/>
      <c r="Y1705" s="34"/>
      <c r="Z1705" s="34"/>
    </row>
    <row r="1706" ht="15.75" customHeight="1">
      <c r="A1706" s="34"/>
      <c r="B1706" s="34"/>
      <c r="C1706" s="34"/>
      <c r="D1706" s="212"/>
      <c r="E1706" s="34"/>
      <c r="F1706" s="213"/>
      <c r="G1706" s="213"/>
      <c r="H1706" s="34"/>
      <c r="I1706" s="214"/>
      <c r="J1706" s="21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</row>
    <row r="1707" ht="15.75" customHeight="1">
      <c r="A1707" s="34"/>
      <c r="B1707" s="34"/>
      <c r="C1707" s="34"/>
      <c r="D1707" s="212"/>
      <c r="E1707" s="34"/>
      <c r="F1707" s="213"/>
      <c r="G1707" s="213"/>
      <c r="H1707" s="34"/>
      <c r="I1707" s="214"/>
      <c r="J1707" s="21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</row>
    <row r="1708" ht="15.75" customHeight="1">
      <c r="A1708" s="34"/>
      <c r="B1708" s="34"/>
      <c r="C1708" s="34"/>
      <c r="D1708" s="212"/>
      <c r="E1708" s="34"/>
      <c r="F1708" s="213"/>
      <c r="G1708" s="213"/>
      <c r="H1708" s="34"/>
      <c r="I1708" s="214"/>
      <c r="J1708" s="21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</row>
    <row r="1709" ht="15.75" customHeight="1">
      <c r="A1709" s="34"/>
      <c r="B1709" s="34"/>
      <c r="C1709" s="34"/>
      <c r="D1709" s="212"/>
      <c r="E1709" s="34"/>
      <c r="F1709" s="213"/>
      <c r="G1709" s="213"/>
      <c r="H1709" s="34"/>
      <c r="I1709" s="214"/>
      <c r="J1709" s="21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</row>
    <row r="1710" ht="15.75" customHeight="1">
      <c r="A1710" s="34"/>
      <c r="B1710" s="34"/>
      <c r="C1710" s="34"/>
      <c r="D1710" s="212"/>
      <c r="E1710" s="34"/>
      <c r="F1710" s="213"/>
      <c r="G1710" s="213"/>
      <c r="H1710" s="34"/>
      <c r="I1710" s="214"/>
      <c r="J1710" s="214"/>
      <c r="K1710" s="34"/>
      <c r="L1710" s="34"/>
      <c r="M1710" s="34"/>
      <c r="N1710" s="34"/>
      <c r="O1710" s="34"/>
      <c r="P1710" s="34"/>
      <c r="Q1710" s="34"/>
      <c r="R1710" s="34"/>
      <c r="S1710" s="34"/>
      <c r="T1710" s="34"/>
      <c r="U1710" s="34"/>
      <c r="V1710" s="34"/>
      <c r="W1710" s="34"/>
      <c r="X1710" s="34"/>
      <c r="Y1710" s="34"/>
      <c r="Z1710" s="34"/>
    </row>
    <row r="1711" ht="15.75" customHeight="1">
      <c r="A1711" s="34"/>
      <c r="B1711" s="34"/>
      <c r="C1711" s="34"/>
      <c r="D1711" s="212"/>
      <c r="E1711" s="34"/>
      <c r="F1711" s="213"/>
      <c r="G1711" s="213"/>
      <c r="H1711" s="34"/>
      <c r="I1711" s="214"/>
      <c r="J1711" s="21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</row>
    <row r="1712" ht="15.75" customHeight="1">
      <c r="A1712" s="34"/>
      <c r="B1712" s="34"/>
      <c r="C1712" s="34"/>
      <c r="D1712" s="212"/>
      <c r="E1712" s="34"/>
      <c r="F1712" s="213"/>
      <c r="G1712" s="213"/>
      <c r="H1712" s="34"/>
      <c r="I1712" s="214"/>
      <c r="J1712" s="21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</row>
    <row r="1713" ht="15.75" customHeight="1">
      <c r="A1713" s="34"/>
      <c r="B1713" s="34"/>
      <c r="C1713" s="34"/>
      <c r="D1713" s="212"/>
      <c r="E1713" s="34"/>
      <c r="F1713" s="213"/>
      <c r="G1713" s="213"/>
      <c r="H1713" s="34"/>
      <c r="I1713" s="214"/>
      <c r="J1713" s="21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</row>
    <row r="1714" ht="15.75" customHeight="1">
      <c r="A1714" s="34"/>
      <c r="B1714" s="34"/>
      <c r="C1714" s="34"/>
      <c r="D1714" s="212"/>
      <c r="E1714" s="34"/>
      <c r="F1714" s="213"/>
      <c r="G1714" s="213"/>
      <c r="H1714" s="34"/>
      <c r="I1714" s="214"/>
      <c r="J1714" s="21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</row>
    <row r="1715" ht="15.75" customHeight="1">
      <c r="A1715" s="34"/>
      <c r="B1715" s="34"/>
      <c r="C1715" s="34"/>
      <c r="D1715" s="212"/>
      <c r="E1715" s="34"/>
      <c r="F1715" s="213"/>
      <c r="G1715" s="213"/>
      <c r="H1715" s="34"/>
      <c r="I1715" s="214"/>
      <c r="J1715" s="21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</row>
    <row r="1716" ht="15.75" customHeight="1">
      <c r="A1716" s="34"/>
      <c r="B1716" s="34"/>
      <c r="C1716" s="34"/>
      <c r="D1716" s="212"/>
      <c r="E1716" s="34"/>
      <c r="F1716" s="213"/>
      <c r="G1716" s="213"/>
      <c r="H1716" s="34"/>
      <c r="I1716" s="214"/>
      <c r="J1716" s="21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</row>
    <row r="1717" ht="15.75" customHeight="1">
      <c r="A1717" s="34"/>
      <c r="B1717" s="34"/>
      <c r="C1717" s="34"/>
      <c r="D1717" s="212"/>
      <c r="E1717" s="34"/>
      <c r="F1717" s="213"/>
      <c r="G1717" s="213"/>
      <c r="H1717" s="34"/>
      <c r="I1717" s="214"/>
      <c r="J1717" s="21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</row>
    <row r="1718" ht="15.75" customHeight="1">
      <c r="A1718" s="34"/>
      <c r="B1718" s="34"/>
      <c r="C1718" s="34"/>
      <c r="D1718" s="212"/>
      <c r="E1718" s="34"/>
      <c r="F1718" s="213"/>
      <c r="G1718" s="213"/>
      <c r="H1718" s="34"/>
      <c r="I1718" s="214"/>
      <c r="J1718" s="21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</row>
    <row r="1719" ht="15.75" customHeight="1">
      <c r="A1719" s="34"/>
      <c r="B1719" s="34"/>
      <c r="C1719" s="34"/>
      <c r="D1719" s="212"/>
      <c r="E1719" s="34"/>
      <c r="F1719" s="213"/>
      <c r="G1719" s="213"/>
      <c r="H1719" s="34"/>
      <c r="I1719" s="214"/>
      <c r="J1719" s="21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</row>
    <row r="1720" ht="15.75" customHeight="1">
      <c r="A1720" s="34"/>
      <c r="B1720" s="34"/>
      <c r="C1720" s="34"/>
      <c r="D1720" s="212"/>
      <c r="E1720" s="34"/>
      <c r="F1720" s="213"/>
      <c r="G1720" s="213"/>
      <c r="H1720" s="34"/>
      <c r="I1720" s="214"/>
      <c r="J1720" s="21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</row>
    <row r="1721" ht="15.75" customHeight="1">
      <c r="A1721" s="34"/>
      <c r="B1721" s="34"/>
      <c r="C1721" s="34"/>
      <c r="D1721" s="212"/>
      <c r="E1721" s="34"/>
      <c r="F1721" s="213"/>
      <c r="G1721" s="213"/>
      <c r="H1721" s="34"/>
      <c r="I1721" s="214"/>
      <c r="J1721" s="21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</row>
    <row r="1722" ht="15.75" customHeight="1">
      <c r="A1722" s="34"/>
      <c r="B1722" s="34"/>
      <c r="C1722" s="34"/>
      <c r="D1722" s="212"/>
      <c r="E1722" s="34"/>
      <c r="F1722" s="213"/>
      <c r="G1722" s="213"/>
      <c r="H1722" s="34"/>
      <c r="I1722" s="214"/>
      <c r="J1722" s="21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</row>
    <row r="1723" ht="15.75" customHeight="1">
      <c r="A1723" s="34"/>
      <c r="B1723" s="34"/>
      <c r="C1723" s="34"/>
      <c r="D1723" s="212"/>
      <c r="E1723" s="34"/>
      <c r="F1723" s="213"/>
      <c r="G1723" s="213"/>
      <c r="H1723" s="34"/>
      <c r="I1723" s="214"/>
      <c r="J1723" s="21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</row>
    <row r="1724" ht="15.75" customHeight="1">
      <c r="A1724" s="34"/>
      <c r="B1724" s="34"/>
      <c r="C1724" s="34"/>
      <c r="D1724" s="212"/>
      <c r="E1724" s="34"/>
      <c r="F1724" s="213"/>
      <c r="G1724" s="213"/>
      <c r="H1724" s="34"/>
      <c r="I1724" s="214"/>
      <c r="J1724" s="21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</row>
    <row r="1725" ht="15.75" customHeight="1">
      <c r="A1725" s="34"/>
      <c r="B1725" s="34"/>
      <c r="C1725" s="34"/>
      <c r="D1725" s="212"/>
      <c r="E1725" s="34"/>
      <c r="F1725" s="213"/>
      <c r="G1725" s="213"/>
      <c r="H1725" s="34"/>
      <c r="I1725" s="214"/>
      <c r="J1725" s="21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</row>
    <row r="1726" ht="15.75" customHeight="1">
      <c r="A1726" s="34"/>
      <c r="B1726" s="34"/>
      <c r="C1726" s="34"/>
      <c r="D1726" s="212"/>
      <c r="E1726" s="34"/>
      <c r="F1726" s="213"/>
      <c r="G1726" s="213"/>
      <c r="H1726" s="34"/>
      <c r="I1726" s="214"/>
      <c r="J1726" s="21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</row>
    <row r="1727" ht="15.75" customHeight="1">
      <c r="A1727" s="34"/>
      <c r="B1727" s="34"/>
      <c r="C1727" s="34"/>
      <c r="D1727" s="212"/>
      <c r="E1727" s="34"/>
      <c r="F1727" s="213"/>
      <c r="G1727" s="213"/>
      <c r="H1727" s="34"/>
      <c r="I1727" s="214"/>
      <c r="J1727" s="21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</row>
    <row r="1728" ht="15.75" customHeight="1">
      <c r="A1728" s="34"/>
      <c r="B1728" s="34"/>
      <c r="C1728" s="34"/>
      <c r="D1728" s="212"/>
      <c r="E1728" s="34"/>
      <c r="F1728" s="213"/>
      <c r="G1728" s="213"/>
      <c r="H1728" s="34"/>
      <c r="I1728" s="214"/>
      <c r="J1728" s="21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</row>
    <row r="1729" ht="15.75" customHeight="1">
      <c r="A1729" s="34"/>
      <c r="B1729" s="34"/>
      <c r="C1729" s="34"/>
      <c r="D1729" s="212"/>
      <c r="E1729" s="34"/>
      <c r="F1729" s="213"/>
      <c r="G1729" s="213"/>
      <c r="H1729" s="34"/>
      <c r="I1729" s="214"/>
      <c r="J1729" s="21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</row>
    <row r="1730" ht="15.75" customHeight="1">
      <c r="A1730" s="34"/>
      <c r="B1730" s="34"/>
      <c r="C1730" s="34"/>
      <c r="D1730" s="212"/>
      <c r="E1730" s="34"/>
      <c r="F1730" s="213"/>
      <c r="G1730" s="213"/>
      <c r="H1730" s="34"/>
      <c r="I1730" s="214"/>
      <c r="J1730" s="21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</row>
    <row r="1731" ht="15.75" customHeight="1">
      <c r="A1731" s="34"/>
      <c r="B1731" s="34"/>
      <c r="C1731" s="34"/>
      <c r="D1731" s="212"/>
      <c r="E1731" s="34"/>
      <c r="F1731" s="213"/>
      <c r="G1731" s="213"/>
      <c r="H1731" s="34"/>
      <c r="I1731" s="214"/>
      <c r="J1731" s="21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</row>
    <row r="1732" ht="15.75" customHeight="1">
      <c r="A1732" s="34"/>
      <c r="B1732" s="34"/>
      <c r="C1732" s="34"/>
      <c r="D1732" s="212"/>
      <c r="E1732" s="34"/>
      <c r="F1732" s="213"/>
      <c r="G1732" s="213"/>
      <c r="H1732" s="34"/>
      <c r="I1732" s="214"/>
      <c r="J1732" s="21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</row>
    <row r="1733" ht="15.75" customHeight="1">
      <c r="A1733" s="34"/>
      <c r="B1733" s="34"/>
      <c r="C1733" s="34"/>
      <c r="D1733" s="212"/>
      <c r="E1733" s="34"/>
      <c r="F1733" s="213"/>
      <c r="G1733" s="213"/>
      <c r="H1733" s="34"/>
      <c r="I1733" s="214"/>
      <c r="J1733" s="21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</row>
    <row r="1734" ht="15.75" customHeight="1">
      <c r="A1734" s="34"/>
      <c r="B1734" s="34"/>
      <c r="C1734" s="34"/>
      <c r="D1734" s="212"/>
      <c r="E1734" s="34"/>
      <c r="F1734" s="213"/>
      <c r="G1734" s="213"/>
      <c r="H1734" s="34"/>
      <c r="I1734" s="214"/>
      <c r="J1734" s="21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</row>
    <row r="1735" ht="15.75" customHeight="1">
      <c r="A1735" s="34"/>
      <c r="B1735" s="34"/>
      <c r="C1735" s="34"/>
      <c r="D1735" s="212"/>
      <c r="E1735" s="34"/>
      <c r="F1735" s="213"/>
      <c r="G1735" s="213"/>
      <c r="H1735" s="34"/>
      <c r="I1735" s="214"/>
      <c r="J1735" s="214"/>
      <c r="K1735" s="34"/>
      <c r="L1735" s="34"/>
      <c r="M1735" s="34"/>
      <c r="N1735" s="34"/>
      <c r="O1735" s="34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</row>
    <row r="1736" ht="15.75" customHeight="1">
      <c r="A1736" s="34"/>
      <c r="B1736" s="34"/>
      <c r="C1736" s="34"/>
      <c r="D1736" s="212"/>
      <c r="E1736" s="34"/>
      <c r="F1736" s="213"/>
      <c r="G1736" s="213"/>
      <c r="H1736" s="34"/>
      <c r="I1736" s="214"/>
      <c r="J1736" s="21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</row>
    <row r="1737" ht="15.75" customHeight="1">
      <c r="A1737" s="34"/>
      <c r="B1737" s="34"/>
      <c r="C1737" s="34"/>
      <c r="D1737" s="212"/>
      <c r="E1737" s="34"/>
      <c r="F1737" s="213"/>
      <c r="G1737" s="213"/>
      <c r="H1737" s="34"/>
      <c r="I1737" s="214"/>
      <c r="J1737" s="21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</row>
    <row r="1738" ht="15.75" customHeight="1">
      <c r="A1738" s="34"/>
      <c r="B1738" s="34"/>
      <c r="C1738" s="34"/>
      <c r="D1738" s="212"/>
      <c r="E1738" s="34"/>
      <c r="F1738" s="213"/>
      <c r="G1738" s="213"/>
      <c r="H1738" s="34"/>
      <c r="I1738" s="214"/>
      <c r="J1738" s="21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</row>
    <row r="1739" ht="15.75" customHeight="1">
      <c r="A1739" s="34"/>
      <c r="B1739" s="34"/>
      <c r="C1739" s="34"/>
      <c r="D1739" s="212"/>
      <c r="E1739" s="34"/>
      <c r="F1739" s="213"/>
      <c r="G1739" s="213"/>
      <c r="H1739" s="34"/>
      <c r="I1739" s="214"/>
      <c r="J1739" s="21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</row>
    <row r="1740" ht="15.75" customHeight="1">
      <c r="A1740" s="34"/>
      <c r="B1740" s="34"/>
      <c r="C1740" s="34"/>
      <c r="D1740" s="212"/>
      <c r="E1740" s="34"/>
      <c r="F1740" s="213"/>
      <c r="G1740" s="213"/>
      <c r="H1740" s="34"/>
      <c r="I1740" s="214"/>
      <c r="J1740" s="21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</row>
    <row r="1741" ht="15.75" customHeight="1">
      <c r="A1741" s="34"/>
      <c r="B1741" s="34"/>
      <c r="C1741" s="34"/>
      <c r="D1741" s="212"/>
      <c r="E1741" s="34"/>
      <c r="F1741" s="213"/>
      <c r="G1741" s="213"/>
      <c r="H1741" s="34"/>
      <c r="I1741" s="214"/>
      <c r="J1741" s="21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</row>
    <row r="1742" ht="15.75" customHeight="1">
      <c r="A1742" s="34"/>
      <c r="B1742" s="34"/>
      <c r="C1742" s="34"/>
      <c r="D1742" s="212"/>
      <c r="E1742" s="34"/>
      <c r="F1742" s="213"/>
      <c r="G1742" s="213"/>
      <c r="H1742" s="34"/>
      <c r="I1742" s="214"/>
      <c r="J1742" s="21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</row>
    <row r="1743" ht="15.75" customHeight="1">
      <c r="A1743" s="34"/>
      <c r="B1743" s="34"/>
      <c r="C1743" s="34"/>
      <c r="D1743" s="212"/>
      <c r="E1743" s="34"/>
      <c r="F1743" s="213"/>
      <c r="G1743" s="213"/>
      <c r="H1743" s="34"/>
      <c r="I1743" s="214"/>
      <c r="J1743" s="21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</row>
    <row r="1744" ht="15.75" customHeight="1">
      <c r="A1744" s="34"/>
      <c r="B1744" s="34"/>
      <c r="C1744" s="34"/>
      <c r="D1744" s="212"/>
      <c r="E1744" s="34"/>
      <c r="F1744" s="213"/>
      <c r="G1744" s="213"/>
      <c r="H1744" s="34"/>
      <c r="I1744" s="214"/>
      <c r="J1744" s="21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</row>
    <row r="1745" ht="15.75" customHeight="1">
      <c r="A1745" s="34"/>
      <c r="B1745" s="34"/>
      <c r="C1745" s="34"/>
      <c r="D1745" s="212"/>
      <c r="E1745" s="34"/>
      <c r="F1745" s="213"/>
      <c r="G1745" s="213"/>
      <c r="H1745" s="34"/>
      <c r="I1745" s="214"/>
      <c r="J1745" s="21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</row>
    <row r="1746" ht="15.75" customHeight="1">
      <c r="A1746" s="34"/>
      <c r="B1746" s="34"/>
      <c r="C1746" s="34"/>
      <c r="D1746" s="212"/>
      <c r="E1746" s="34"/>
      <c r="F1746" s="213"/>
      <c r="G1746" s="213"/>
      <c r="H1746" s="34"/>
      <c r="I1746" s="214"/>
      <c r="J1746" s="21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</row>
    <row r="1747" ht="15.75" customHeight="1">
      <c r="A1747" s="34"/>
      <c r="B1747" s="34"/>
      <c r="C1747" s="34"/>
      <c r="D1747" s="212"/>
      <c r="E1747" s="34"/>
      <c r="F1747" s="213"/>
      <c r="G1747" s="213"/>
      <c r="H1747" s="34"/>
      <c r="I1747" s="214"/>
      <c r="J1747" s="21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</row>
    <row r="1748" ht="15.75" customHeight="1">
      <c r="A1748" s="34"/>
      <c r="B1748" s="34"/>
      <c r="C1748" s="34"/>
      <c r="D1748" s="212"/>
      <c r="E1748" s="34"/>
      <c r="F1748" s="213"/>
      <c r="G1748" s="213"/>
      <c r="H1748" s="34"/>
      <c r="I1748" s="214"/>
      <c r="J1748" s="21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</row>
    <row r="1749" ht="15.75" customHeight="1">
      <c r="A1749" s="34"/>
      <c r="B1749" s="34"/>
      <c r="C1749" s="34"/>
      <c r="D1749" s="212"/>
      <c r="E1749" s="34"/>
      <c r="F1749" s="213"/>
      <c r="G1749" s="213"/>
      <c r="H1749" s="34"/>
      <c r="I1749" s="214"/>
      <c r="J1749" s="21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</row>
    <row r="1750" ht="15.75" customHeight="1">
      <c r="A1750" s="34"/>
      <c r="B1750" s="34"/>
      <c r="C1750" s="34"/>
      <c r="D1750" s="212"/>
      <c r="E1750" s="34"/>
      <c r="F1750" s="213"/>
      <c r="G1750" s="213"/>
      <c r="H1750" s="34"/>
      <c r="I1750" s="214"/>
      <c r="J1750" s="21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</row>
    <row r="1751" ht="15.75" customHeight="1">
      <c r="A1751" s="34"/>
      <c r="B1751" s="34"/>
      <c r="C1751" s="34"/>
      <c r="D1751" s="212"/>
      <c r="E1751" s="34"/>
      <c r="F1751" s="213"/>
      <c r="G1751" s="213"/>
      <c r="H1751" s="34"/>
      <c r="I1751" s="214"/>
      <c r="J1751" s="214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</row>
    <row r="1752" ht="15.75" customHeight="1">
      <c r="A1752" s="34"/>
      <c r="B1752" s="34"/>
      <c r="C1752" s="34"/>
      <c r="D1752" s="212"/>
      <c r="E1752" s="34"/>
      <c r="F1752" s="213"/>
      <c r="G1752" s="213"/>
      <c r="H1752" s="34"/>
      <c r="I1752" s="214"/>
      <c r="J1752" s="214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</row>
    <row r="1753" ht="15.75" customHeight="1">
      <c r="A1753" s="34"/>
      <c r="B1753" s="34"/>
      <c r="C1753" s="34"/>
      <c r="D1753" s="212"/>
      <c r="E1753" s="34"/>
      <c r="F1753" s="213"/>
      <c r="G1753" s="213"/>
      <c r="H1753" s="34"/>
      <c r="I1753" s="214"/>
      <c r="J1753" s="214"/>
      <c r="K1753" s="34"/>
      <c r="L1753" s="34"/>
      <c r="M1753" s="34"/>
      <c r="N1753" s="34"/>
      <c r="O1753" s="34"/>
      <c r="P1753" s="34"/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</row>
    <row r="1754" ht="15.75" customHeight="1">
      <c r="A1754" s="34"/>
      <c r="B1754" s="34"/>
      <c r="C1754" s="34"/>
      <c r="D1754" s="212"/>
      <c r="E1754" s="34"/>
      <c r="F1754" s="213"/>
      <c r="G1754" s="213"/>
      <c r="H1754" s="34"/>
      <c r="I1754" s="214"/>
      <c r="J1754" s="214"/>
      <c r="K1754" s="34"/>
      <c r="L1754" s="34"/>
      <c r="M1754" s="34"/>
      <c r="N1754" s="34"/>
      <c r="O1754" s="34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</row>
    <row r="1755" ht="15.75" customHeight="1">
      <c r="A1755" s="34"/>
      <c r="B1755" s="34"/>
      <c r="C1755" s="34"/>
      <c r="D1755" s="212"/>
      <c r="E1755" s="34"/>
      <c r="F1755" s="213"/>
      <c r="G1755" s="213"/>
      <c r="H1755" s="34"/>
      <c r="I1755" s="214"/>
      <c r="J1755" s="214"/>
      <c r="K1755" s="34"/>
      <c r="L1755" s="34"/>
      <c r="M1755" s="34"/>
      <c r="N1755" s="34"/>
      <c r="O1755" s="34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</row>
    <row r="1756" ht="15.75" customHeight="1">
      <c r="A1756" s="34"/>
      <c r="B1756" s="34"/>
      <c r="C1756" s="34"/>
      <c r="D1756" s="212"/>
      <c r="E1756" s="34"/>
      <c r="F1756" s="213"/>
      <c r="G1756" s="213"/>
      <c r="H1756" s="34"/>
      <c r="I1756" s="214"/>
      <c r="J1756" s="21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</row>
    <row r="1757" ht="15.75" customHeight="1">
      <c r="A1757" s="34"/>
      <c r="B1757" s="34"/>
      <c r="C1757" s="34"/>
      <c r="D1757" s="212"/>
      <c r="E1757" s="34"/>
      <c r="F1757" s="213"/>
      <c r="G1757" s="213"/>
      <c r="H1757" s="34"/>
      <c r="I1757" s="214"/>
      <c r="J1757" s="21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</row>
    <row r="1758" ht="15.75" customHeight="1">
      <c r="A1758" s="34"/>
      <c r="B1758" s="34"/>
      <c r="C1758" s="34"/>
      <c r="D1758" s="212"/>
      <c r="E1758" s="34"/>
      <c r="F1758" s="213"/>
      <c r="G1758" s="213"/>
      <c r="H1758" s="34"/>
      <c r="I1758" s="214"/>
      <c r="J1758" s="214"/>
      <c r="K1758" s="34"/>
      <c r="L1758" s="34"/>
      <c r="M1758" s="34"/>
      <c r="N1758" s="34"/>
      <c r="O1758" s="34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</row>
    <row r="1759" ht="15.75" customHeight="1">
      <c r="A1759" s="34"/>
      <c r="B1759" s="34"/>
      <c r="C1759" s="34"/>
      <c r="D1759" s="212"/>
      <c r="E1759" s="34"/>
      <c r="F1759" s="213"/>
      <c r="G1759" s="213"/>
      <c r="H1759" s="34"/>
      <c r="I1759" s="214"/>
      <c r="J1759" s="21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</row>
  </sheetData>
  <mergeCells count="3">
    <mergeCell ref="A1:G1"/>
    <mergeCell ref="A2:G2"/>
    <mergeCell ref="A3:G3"/>
  </mergeCells>
  <dataValidations>
    <dataValidation type="list" allowBlank="1" showErrorMessage="1" sqref="D6:D803">
      <formula1>'Daftar Akun'!$A$6:$A$103</formula1>
    </dataValidation>
    <dataValidation type="custom" allowBlank="1" showDropDown="1" sqref="A6:A1564">
      <formula1>OR(NOT(ISERROR(DATEVALUE(A6))), AND(ISNUMBER(A6), LEFT(CELL("format", A6))="D"))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6.43"/>
    <col customWidth="1" min="2" max="2" width="60.29"/>
    <col customWidth="1" min="3" max="3" width="15.57"/>
    <col customWidth="1" min="4" max="5" width="15.0"/>
    <col customWidth="1" min="6" max="6" width="17.0"/>
    <col customWidth="1" min="7" max="7" width="8.71"/>
    <col customWidth="1" hidden="1" min="8" max="8" width="13.0"/>
    <col customWidth="1" min="9" max="26" width="8.71"/>
  </cols>
  <sheetData>
    <row r="1" ht="21.75" customHeight="1">
      <c r="A1" s="79" t="s">
        <v>1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15.75" customHeight="1">
      <c r="A2" s="81" t="s">
        <v>2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82" t="s">
        <v>142</v>
      </c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3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84" t="s">
        <v>143</v>
      </c>
      <c r="B5" s="85" t="s">
        <v>33</v>
      </c>
      <c r="C5" s="86" t="s">
        <v>145</v>
      </c>
      <c r="D5" s="87" t="str">
        <f t="array" ref="D5">IFERROR(INDEX('Daftar Akun'!$B$6:$B$62,MATCH($B$5,'Daftar Akun'!$A$6:$A$62,0)),"")</f>
        <v>Bank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4" t="s">
        <v>146</v>
      </c>
      <c r="B6" s="87" t="str">
        <f t="array" ref="B6">IFERROR(INDEX('Daftar Akun'!$D$6:$D$62,MATCH($B$5,'Daftar Akun'!$A$6:$A$62,0)),"")</f>
        <v>Debit</v>
      </c>
      <c r="C6" s="86" t="s">
        <v>147</v>
      </c>
      <c r="D6" s="90">
        <f>IF($B$6="Debit",SUMIFS('Jurnal Umum'!$F$6:$F$909,'Jurnal Umum'!$D$6:$D$909,$B$5)-SUMIFS('Jurnal Umum'!$G$6:$G$909,'Jurnal Umum'!$D$6:$D$909,$B$5),SUMIFS('Jurnal Umum'!$G$6:$G$909,'Jurnal Umum'!$D$6:$D$909,$B$5)-SUMIFS('Jurnal Umum'!$F$6:$F$909,'Jurnal Umum'!$D$6:$D$909,$B$5))</f>
        <v>13450950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3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25.5" customHeight="1">
      <c r="A8" s="23" t="s">
        <v>16</v>
      </c>
      <c r="B8" s="23" t="s">
        <v>21</v>
      </c>
      <c r="C8" s="23" t="s">
        <v>20</v>
      </c>
      <c r="D8" s="23" t="s">
        <v>26</v>
      </c>
      <c r="E8" s="23" t="s">
        <v>28</v>
      </c>
      <c r="F8" s="23" t="s">
        <v>149</v>
      </c>
      <c r="G8" s="80"/>
      <c r="H8" s="93" t="s">
        <v>150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96">
        <f t="array" ref="A9">IF($H9="","",INDEX('Jurnal Umum'!$A$6:$A$2564,$H9-5))</f>
        <v>46235</v>
      </c>
      <c r="B9" s="97" t="str">
        <f t="array" ref="B9">IF($H9="","",IFERROR(INDEX('Jurnal Umum'!$C$6:$C$2564,
 MATCH(1,
   ('Jurnal Umum'!$A$6:$A$2564=INDEX('Jurnal Umum'!$A$6:$A$2564,$H9-5)) *
   ('Jurnal Umum'!$C$6:$C$2564=INDEX('Jurnal Umum'!$C$6:$C$2564,$H9-5)) *
   ('Jurnal Umum'!$D$6:$D$2564&lt;&gt;$B$5)
 ,0)),""))</f>
        <v>Modal Awal Bulan Agustus 2026</v>
      </c>
      <c r="C9" s="98" t="str">
        <f t="array" ref="C9">IF($H9="","",INDEX('Jurnal Umum'!$B$6:$B$2564,$H9-5))</f>
        <v/>
      </c>
      <c r="D9" s="99">
        <f t="array" ref="D9">IF($H9="","",IF(INDEX('Jurnal Umum'!$F$6:$F$2564,$H9-5)="",0,INDEX('Jurnal Umum'!$F$6:$F$2564,$H9-5)))</f>
        <v>59266000</v>
      </c>
      <c r="E9" s="99">
        <f t="array" ref="E9">IF($H9="","",IF(INDEX('Jurnal Umum'!$G$6:$G$2564,$H9-5)="",0,INDEX('Jurnal Umum'!$G$6:$G$2564,$H9-5)))</f>
        <v>0</v>
      </c>
      <c r="F9" s="100">
        <f t="shared" ref="F9:F208" si="1">IF($H9="","",IF($B$6="Debit",SUM($D$9:D9)-SUM($E$9:E9),SUM($E$9:E9)-SUM($D$9:D9)))</f>
        <v>59266000</v>
      </c>
      <c r="G9" s="80"/>
      <c r="H9" s="101">
        <f>IFERROR(MATCH($B$5&amp;"-"&amp;1,'Jurnal Umum'!$J$6:$J$909,0)+5,"")</f>
        <v>6</v>
      </c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96">
        <f t="array" ref="A10">IF($H10="","",INDEX('Jurnal Umum'!$A$6:$A$2564,$H10-5))</f>
        <v>46235</v>
      </c>
      <c r="B10" s="97" t="str">
        <f t="array" ref="B10">IF($H10="","",IFERROR(INDEX('Jurnal Umum'!$C$6:$C$2564,
 MATCH(1,
   ('Jurnal Umum'!$A$6:$A$2564=INDEX('Jurnal Umum'!$A$6:$A$2564,$H10-5)) *
   ('Jurnal Umum'!$C$6:$C$2564=INDEX('Jurnal Umum'!$C$6:$C$2564,$H10-5)) *
   ('Jurnal Umum'!$D$6:$D$2564&lt;&gt;$B$5)
 ,0)),""))</f>
        <v>Pinjaman Modal Greenhouse</v>
      </c>
      <c r="C10" s="98" t="str">
        <f t="array" ref="C10">IF($H10="","",INDEX('Jurnal Umum'!$B$6:$B$2564,$H10-5))</f>
        <v/>
      </c>
      <c r="D10" s="99">
        <f t="array" ref="D10">IF($H10="","",IF(INDEX('Jurnal Umum'!$F$6:$F$2564,$H10-5)="",0,INDEX('Jurnal Umum'!$F$6:$F$2564,$H10-5)))</f>
        <v>0</v>
      </c>
      <c r="E10" s="99">
        <f t="array" ref="E10">IF($H10="","",IF(INDEX('Jurnal Umum'!$G$6:$G$2564,$H10-5)="",0,INDEX('Jurnal Umum'!$G$6:$G$2564,$H10-5)))</f>
        <v>33060000</v>
      </c>
      <c r="F10" s="100">
        <f t="shared" si="1"/>
        <v>26206000</v>
      </c>
      <c r="G10" s="80"/>
      <c r="H10" s="101">
        <f>IFERROR(MATCH($B$5&amp;"-"&amp;2,'Jurnal Umum'!$J$6:$J$909,0)+5,"")</f>
        <v>9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96">
        <f t="array" ref="A11">IF($H11="","",INDEX('Jurnal Umum'!$A$6:$A$2564,$H11-5))</f>
        <v>46235</v>
      </c>
      <c r="B11" s="97" t="str">
        <f t="array" ref="B11">IF($H11="","",IFERROR(INDEX('Jurnal Umum'!$C$6:$C$2564,
 MATCH(1,
   ('Jurnal Umum'!$A$6:$A$2564=INDEX('Jurnal Umum'!$A$6:$A$2564,$H11-5)) *
   ('Jurnal Umum'!$C$6:$C$2564=INDEX('Jurnal Umum'!$C$6:$C$2564,$H11-5)) *
   ('Jurnal Umum'!$D$6:$D$2564&lt;&gt;$B$5)
 ,0)),""))</f>
        <v>Abunemen Petani Aster - Mas Yuli</v>
      </c>
      <c r="C11" s="98" t="str">
        <f t="array" ref="C11">IF($H11="","",INDEX('Jurnal Umum'!$B$6:$B$2564,$H11-5))</f>
        <v/>
      </c>
      <c r="D11" s="99">
        <f t="array" ref="D11">IF($H11="","",IF(INDEX('Jurnal Umum'!$F$6:$F$2564,$H11-5)="",0,INDEX('Jurnal Umum'!$F$6:$F$2564,$H11-5)))</f>
        <v>0</v>
      </c>
      <c r="E11" s="99">
        <f t="array" ref="E11">IF($H11="","",IF(INDEX('Jurnal Umum'!$G$6:$G$2564,$H11-5)="",0,INDEX('Jurnal Umum'!$G$6:$G$2564,$H11-5)))</f>
        <v>7000000</v>
      </c>
      <c r="F11" s="100">
        <f t="shared" si="1"/>
        <v>19206000</v>
      </c>
      <c r="G11" s="80"/>
      <c r="H11" s="101">
        <f>IFERROR(MATCH($B$5&amp;"-"&amp;3,'Jurnal Umum'!$J$6:$J$909,0)+5,"")</f>
        <v>11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96">
        <f t="array" ref="A12">IF($H12="","",INDEX('Jurnal Umum'!$A$6:$A$2564,$H12-5))</f>
        <v>46235</v>
      </c>
      <c r="B12" s="97" t="str">
        <f t="array" ref="B12">IF($H12="","",IFERROR(INDEX('Jurnal Umum'!$C$6:$C$2564,
 MATCH(1,
   ('Jurnal Umum'!$A$6:$A$2564=INDEX('Jurnal Umum'!$A$6:$A$2564,$H12-5)) *
   ('Jurnal Umum'!$C$6:$C$2564=INDEX('Jurnal Umum'!$C$6:$C$2564,$H12-5)) *
   ('Jurnal Umum'!$D$6:$D$2564&lt;&gt;$B$5)
 ,0)),""))</f>
        <v>Talangan Ongkir DMK Cargo</v>
      </c>
      <c r="C12" s="98" t="str">
        <f t="array" ref="C12">IF($H12="","",INDEX('Jurnal Umum'!$B$6:$B$2564,$H12-5))</f>
        <v/>
      </c>
      <c r="D12" s="99">
        <f t="array" ref="D12">IF($H12="","",IF(INDEX('Jurnal Umum'!$F$6:$F$2564,$H12-5)="",0,INDEX('Jurnal Umum'!$F$6:$F$2564,$H12-5)))</f>
        <v>0</v>
      </c>
      <c r="E12" s="99">
        <f t="array" ref="E12">IF($H12="","",IF(INDEX('Jurnal Umum'!$G$6:$G$2564,$H12-5)="",0,INDEX('Jurnal Umum'!$G$6:$G$2564,$H12-5)))</f>
        <v>854295</v>
      </c>
      <c r="F12" s="100">
        <f t="shared" si="1"/>
        <v>18351705</v>
      </c>
      <c r="G12" s="80"/>
      <c r="H12" s="101">
        <f>IFERROR(MATCH($B$5&amp;"-"&amp;4,'Jurnal Umum'!$J$6:$J$909,0)+5,"")</f>
        <v>13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96">
        <f t="array" ref="A13">IF($H13="","",INDEX('Jurnal Umum'!$A$6:$A$2564,$H13-5))</f>
        <v>46235</v>
      </c>
      <c r="B13" s="97" t="str">
        <f t="array" ref="B13">IF($H13="","",IFERROR(INDEX('Jurnal Umum'!$C$6:$C$2564,
 MATCH(1,
   ('Jurnal Umum'!$A$6:$A$2564=INDEX('Jurnal Umum'!$A$6:$A$2564,$H13-5)) *
   ('Jurnal Umum'!$C$6:$C$2564=INDEX('Jurnal Umum'!$C$6:$C$2564,$H13-5)) *
   ('Jurnal Umum'!$D$6:$D$2564&lt;&gt;$B$5)
 ,0)),""))</f>
        <v>Pembayaran Bunga Pikok - Bu Nisa</v>
      </c>
      <c r="C13" s="98" t="str">
        <f t="array" ref="C13">IF($H13="","",INDEX('Jurnal Umum'!$B$6:$B$2564,$H13-5))</f>
        <v/>
      </c>
      <c r="D13" s="99">
        <f t="array" ref="D13">IF($H13="","",IF(INDEX('Jurnal Umum'!$F$6:$F$2564,$H13-5)="",0,INDEX('Jurnal Umum'!$F$6:$F$2564,$H13-5)))</f>
        <v>0</v>
      </c>
      <c r="E13" s="99">
        <f t="array" ref="E13">IF($H13="","",IF(INDEX('Jurnal Umum'!$G$6:$G$2564,$H13-5)="",0,INDEX('Jurnal Umum'!$G$6:$G$2564,$H13-5)))</f>
        <v>1050000</v>
      </c>
      <c r="F13" s="100">
        <f t="shared" si="1"/>
        <v>17301705</v>
      </c>
      <c r="G13" s="80"/>
      <c r="H13" s="101">
        <f>IFERROR(MATCH($B$5&amp;"-"&amp;5,'Jurnal Umum'!$J$6:$J$909,0)+5,"")</f>
        <v>15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96">
        <f t="array" ref="A14">IF($H14="","",INDEX('Jurnal Umum'!$A$6:$A$2564,$H14-5))</f>
        <v>46235</v>
      </c>
      <c r="B14" s="97" t="str">
        <f t="array" ref="B14">IF($H14="","",IFERROR(INDEX('Jurnal Umum'!$C$6:$C$2564,
 MATCH(1,
   ('Jurnal Umum'!$A$6:$A$2564=INDEX('Jurnal Umum'!$A$6:$A$2564,$H14-5)) *
   ('Jurnal Umum'!$C$6:$C$2564=INDEX('Jurnal Umum'!$C$6:$C$2564,$H14-5)) *
   ('Jurnal Umum'!$D$6:$D$2564&lt;&gt;$B$5)
 ,0)),""))</f>
        <v>Pembayaran Bunga Bromo - Nongkojajar</v>
      </c>
      <c r="C14" s="98" t="str">
        <f t="array" ref="C14">IF($H14="","",INDEX('Jurnal Umum'!$B$6:$B$2564,$H14-5))</f>
        <v/>
      </c>
      <c r="D14" s="99">
        <f t="array" ref="D14">IF($H14="","",IF(INDEX('Jurnal Umum'!$F$6:$F$2564,$H14-5)="",0,INDEX('Jurnal Umum'!$F$6:$F$2564,$H14-5)))</f>
        <v>0</v>
      </c>
      <c r="E14" s="99">
        <f t="array" ref="E14">IF($H14="","",IF(INDEX('Jurnal Umum'!$G$6:$G$2564,$H14-5)="",0,INDEX('Jurnal Umum'!$G$6:$G$2564,$H14-5)))</f>
        <v>1428000</v>
      </c>
      <c r="F14" s="100">
        <f t="shared" si="1"/>
        <v>15873705</v>
      </c>
      <c r="G14" s="80"/>
      <c r="H14" s="101">
        <f>IFERROR(MATCH($B$5&amp;"-"&amp;6,'Jurnal Umum'!$J$6:$J$909,0)+5,"")</f>
        <v>17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96">
        <f t="array" ref="A15">IF($H15="","",INDEX('Jurnal Umum'!$A$6:$A$2564,$H15-5))</f>
        <v>46235</v>
      </c>
      <c r="B15" s="97" t="str">
        <f t="array" ref="B15">IF($H15="","",IFERROR(INDEX('Jurnal Umum'!$C$6:$C$2564,
 MATCH(1,
   ('Jurnal Umum'!$A$6:$A$2564=INDEX('Jurnal Umum'!$A$6:$A$2564,$H15-5)) *
   ('Jurnal Umum'!$C$6:$C$2564=INDEX('Jurnal Umum'!$C$6:$C$2564,$H15-5)) *
   ('Jurnal Umum'!$D$6:$D$2564&lt;&gt;$B$5)
 ,0)),""))</f>
        <v>Pembelian Bunga di Om Toha</v>
      </c>
      <c r="C15" s="98" t="str">
        <f t="array" ref="C15">IF($H15="","",INDEX('Jurnal Umum'!$B$6:$B$2564,$H15-5))</f>
        <v/>
      </c>
      <c r="D15" s="99">
        <f t="array" ref="D15">IF($H15="","",IF(INDEX('Jurnal Umum'!$F$6:$F$2564,$H15-5)="",0,INDEX('Jurnal Umum'!$F$6:$F$2564,$H15-5)))</f>
        <v>0</v>
      </c>
      <c r="E15" s="99">
        <f t="array" ref="E15">IF($H15="","",IF(INDEX('Jurnal Umum'!$G$6:$G$2564,$H15-5)="",0,INDEX('Jurnal Umum'!$G$6:$G$2564,$H15-5)))</f>
        <v>650000</v>
      </c>
      <c r="F15" s="100">
        <f t="shared" si="1"/>
        <v>15223705</v>
      </c>
      <c r="G15" s="80"/>
      <c r="H15" s="101">
        <f>IFERROR(MATCH($B$5&amp;"-"&amp;7,'Jurnal Umum'!$J$6:$J$909,0)+5,"")</f>
        <v>19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96">
        <f t="array" ref="A16">IF($H16="","",INDEX('Jurnal Umum'!$A$6:$A$2564,$H16-5))</f>
        <v>46235</v>
      </c>
      <c r="B16" s="97" t="str">
        <f t="array" ref="B16">IF($H16="","",IFERROR(INDEX('Jurnal Umum'!$C$6:$C$2564,
 MATCH(1,
   ('Jurnal Umum'!$A$6:$A$2564=INDEX('Jurnal Umum'!$A$6:$A$2564,$H16-5)) *
   ('Jurnal Umum'!$C$6:$C$2564=INDEX('Jurnal Umum'!$C$6:$C$2564,$H16-5)) *
   ('Jurnal Umum'!$D$6:$D$2564&lt;&gt;$B$5)
 ,0)),""))</f>
        <v>Pembelian Bunga di WKF</v>
      </c>
      <c r="C16" s="98" t="str">
        <f t="array" ref="C16">IF($H16="","",INDEX('Jurnal Umum'!$B$6:$B$2564,$H16-5))</f>
        <v>BK-260801-001</v>
      </c>
      <c r="D16" s="99">
        <f t="array" ref="D16">IF($H16="","",IF(INDEX('Jurnal Umum'!$F$6:$F$2564,$H16-5)="",0,INDEX('Jurnal Umum'!$F$6:$F$2564,$H16-5)))</f>
        <v>0</v>
      </c>
      <c r="E16" s="99">
        <f t="array" ref="E16">IF($H16="","",IF(INDEX('Jurnal Umum'!$G$6:$G$2564,$H16-5)="",0,INDEX('Jurnal Umum'!$G$6:$G$2564,$H16-5)))</f>
        <v>282000</v>
      </c>
      <c r="F16" s="100">
        <f t="shared" si="1"/>
        <v>14941705</v>
      </c>
      <c r="G16" s="80"/>
      <c r="H16" s="101">
        <f>IFERROR(MATCH($B$5&amp;"-"&amp;8,'Jurnal Umum'!$J$6:$J$909,0)+5,"")</f>
        <v>21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96">
        <f t="array" ref="A17">IF($H17="","",INDEX('Jurnal Umum'!$A$6:$A$2564,$H17-5))</f>
        <v>46235</v>
      </c>
      <c r="B17" s="97" t="str">
        <f t="array" ref="B17">IF($H17="","",IFERROR(INDEX('Jurnal Umum'!$C$6:$C$2564,
 MATCH(1,
   ('Jurnal Umum'!$A$6:$A$2564=INDEX('Jurnal Umum'!$A$6:$A$2564,$H17-5)) *
   ('Jurnal Umum'!$C$6:$C$2564=INDEX('Jurnal Umum'!$C$6:$C$2564,$H17-5)) *
   ('Jurnal Umum'!$D$6:$D$2564&lt;&gt;$B$5)
 ,0)),""))</f>
        <v>Pengembalian Dana Talangan Ongkir</v>
      </c>
      <c r="C17" s="98" t="str">
        <f t="array" ref="C17">IF($H17="","",INDEX('Jurnal Umum'!$B$6:$B$2564,$H17-5))</f>
        <v/>
      </c>
      <c r="D17" s="99">
        <f t="array" ref="D17">IF($H17="","",IF(INDEX('Jurnal Umum'!$F$6:$F$2564,$H17-5)="",0,INDEX('Jurnal Umum'!$F$6:$F$2564,$H17-5)))</f>
        <v>854295</v>
      </c>
      <c r="E17" s="99">
        <f t="array" ref="E17">IF($H17="","",IF(INDEX('Jurnal Umum'!$G$6:$G$2564,$H17-5)="",0,INDEX('Jurnal Umum'!$G$6:$G$2564,$H17-5)))</f>
        <v>0</v>
      </c>
      <c r="F17" s="100">
        <f t="shared" si="1"/>
        <v>15796000</v>
      </c>
      <c r="G17" s="80"/>
      <c r="H17" s="101">
        <f>IFERROR(MATCH($B$5&amp;"-"&amp;9,'Jurnal Umum'!$J$6:$J$909,0)+5,"")</f>
        <v>22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96">
        <f t="array" ref="A18">IF($H18="","",INDEX('Jurnal Umum'!$A$6:$A$2564,$H18-5))</f>
        <v>46235</v>
      </c>
      <c r="B18" s="97" t="str">
        <f t="array" ref="B18">IF($H18="","",IFERROR(INDEX('Jurnal Umum'!$C$6:$C$2564,
 MATCH(1,
   ('Jurnal Umum'!$A$6:$A$2564=INDEX('Jurnal Umum'!$A$6:$A$2564,$H18-5)) *
   ('Jurnal Umum'!$C$6:$C$2564=INDEX('Jurnal Umum'!$C$6:$C$2564,$H18-5)) *
   ('Jurnal Umum'!$D$6:$D$2564&lt;&gt;$B$5)
 ,0)),""))</f>
        <v>Tarik Tunai untuk kas operasional</v>
      </c>
      <c r="C18" s="98" t="str">
        <f t="array" ref="C18">IF($H18="","",INDEX('Jurnal Umum'!$B$6:$B$2564,$H18-5))</f>
        <v/>
      </c>
      <c r="D18" s="99">
        <f t="array" ref="D18">IF($H18="","",IF(INDEX('Jurnal Umum'!$F$6:$F$2564,$H18-5)="",0,INDEX('Jurnal Umum'!$F$6:$F$2564,$H18-5)))</f>
        <v>0</v>
      </c>
      <c r="E18" s="99">
        <f t="array" ref="E18">IF($H18="","",IF(INDEX('Jurnal Umum'!$G$6:$G$2564,$H18-5)="",0,INDEX('Jurnal Umum'!$G$6:$G$2564,$H18-5)))</f>
        <v>1437000</v>
      </c>
      <c r="F18" s="100">
        <f t="shared" si="1"/>
        <v>14359000</v>
      </c>
      <c r="G18" s="80"/>
      <c r="H18" s="101">
        <f>IFERROR(MATCH($B$5&amp;"-"&amp;10,'Jurnal Umum'!$J$6:$J$909,0)+5,"")</f>
        <v>25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96">
        <f t="array" ref="A19">IF($H19="","",INDEX('Jurnal Umum'!$A$6:$A$2564,$H19-5))</f>
        <v>46235</v>
      </c>
      <c r="B19" s="97" t="str">
        <f t="array" ref="B19">IF($H19="","",IFERROR(INDEX('Jurnal Umum'!$C$6:$C$2564,
 MATCH(1,
   ('Jurnal Umum'!$A$6:$A$2564=INDEX('Jurnal Umum'!$A$6:$A$2564,$H19-5)) *
   ('Jurnal Umum'!$C$6:$C$2564=INDEX('Jurnal Umum'!$C$6:$C$2564,$H19-5)) *
   ('Jurnal Umum'!$D$6:$D$2564&lt;&gt;$B$5)
 ,0)),""))</f>
        <v>Talangan Ongkir DMK Cargo</v>
      </c>
      <c r="C19" s="98" t="str">
        <f t="array" ref="C19">IF($H19="","",INDEX('Jurnal Umum'!$B$6:$B$2564,$H19-5))</f>
        <v/>
      </c>
      <c r="D19" s="99">
        <f t="array" ref="D19">IF($H19="","",IF(INDEX('Jurnal Umum'!$F$6:$F$2564,$H19-5)="",0,INDEX('Jurnal Umum'!$F$6:$F$2564,$H19-5)))</f>
        <v>0</v>
      </c>
      <c r="E19" s="99">
        <f t="array" ref="E19">IF($H19="","",IF(INDEX('Jurnal Umum'!$G$6:$G$2564,$H19-5)="",0,INDEX('Jurnal Umum'!$G$6:$G$2564,$H19-5)))</f>
        <v>1968519</v>
      </c>
      <c r="F19" s="100">
        <f t="shared" si="1"/>
        <v>12390481</v>
      </c>
      <c r="G19" s="80"/>
      <c r="H19" s="101">
        <f>IFERROR(MATCH($B$5&amp;"-"&amp;11,'Jurnal Umum'!$J$6:$J$909,0)+5,"")</f>
        <v>35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96">
        <f t="array" ref="A20">IF($H20="","",INDEX('Jurnal Umum'!$A$6:$A$2564,$H20-5))</f>
        <v>46235</v>
      </c>
      <c r="B20" s="97" t="str">
        <f t="array" ref="B20">IF($H20="","",IFERROR(INDEX('Jurnal Umum'!$C$6:$C$2564,
 MATCH(1,
   ('Jurnal Umum'!$A$6:$A$2564=INDEX('Jurnal Umum'!$A$6:$A$2564,$H20-5)) *
   ('Jurnal Umum'!$C$6:$C$2564=INDEX('Jurnal Umum'!$C$6:$C$2564,$H20-5)) *
   ('Jurnal Umum'!$D$6:$D$2564&lt;&gt;$B$5)
 ,0)),""))</f>
        <v>Biaya Admin Kartu BCA</v>
      </c>
      <c r="C20" s="98" t="str">
        <f t="array" ref="C20">IF($H20="","",INDEX('Jurnal Umum'!$B$6:$B$2564,$H20-5))</f>
        <v/>
      </c>
      <c r="D20" s="99">
        <f t="array" ref="D20">IF($H20="","",IF(INDEX('Jurnal Umum'!$F$6:$F$2564,$H20-5)="",0,INDEX('Jurnal Umum'!$F$6:$F$2564,$H20-5)))</f>
        <v>0</v>
      </c>
      <c r="E20" s="99">
        <f t="array" ref="E20">IF($H20="","",IF(INDEX('Jurnal Umum'!$G$6:$G$2564,$H20-5)="",0,INDEX('Jurnal Umum'!$G$6:$G$2564,$H20-5)))</f>
        <v>10000</v>
      </c>
      <c r="F20" s="100">
        <f t="shared" si="1"/>
        <v>12380481</v>
      </c>
      <c r="G20" s="80"/>
      <c r="H20" s="101">
        <f>IFERROR(MATCH($B$5&amp;"-"&amp;12,'Jurnal Umum'!$J$6:$J$909,0)+5,"")</f>
        <v>37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96">
        <f t="array" ref="A21">IF($H21="","",INDEX('Jurnal Umum'!$A$6:$A$2564,$H21-5))</f>
        <v>46235</v>
      </c>
      <c r="B21" s="97" t="str">
        <f t="array" ref="B21">IF($H21="","",IFERROR(INDEX('Jurnal Umum'!$C$6:$C$2564,
 MATCH(1,
   ('Jurnal Umum'!$A$6:$A$2564=INDEX('Jurnal Umum'!$A$6:$A$2564,$H21-5)) *
   ('Jurnal Umum'!$C$6:$C$2564=INDEX('Jurnal Umum'!$C$6:$C$2564,$H21-5)) *
   ('Jurnal Umum'!$D$6:$D$2564&lt;&gt;$B$5)
 ,0)),""))</f>
        <v>Penjualan Bunga Ke Vendor - Mas Abizar</v>
      </c>
      <c r="C21" s="98" t="str">
        <f t="array" ref="C21">IF($H21="","",INDEX('Jurnal Umum'!$B$6:$B$2564,$H21-5))</f>
        <v>BM-260801-001</v>
      </c>
      <c r="D21" s="99">
        <f t="array" ref="D21">IF($H21="","",IF(INDEX('Jurnal Umum'!$F$6:$F$2564,$H21-5)="",0,INDEX('Jurnal Umum'!$F$6:$F$2564,$H21-5)))</f>
        <v>48000</v>
      </c>
      <c r="E21" s="99">
        <f t="array" ref="E21">IF($H21="","",IF(INDEX('Jurnal Umum'!$G$6:$G$2564,$H21-5)="",0,INDEX('Jurnal Umum'!$G$6:$G$2564,$H21-5)))</f>
        <v>0</v>
      </c>
      <c r="F21" s="100">
        <f t="shared" si="1"/>
        <v>12428481</v>
      </c>
      <c r="G21" s="80"/>
      <c r="H21" s="101">
        <f>IFERROR(MATCH($B$5&amp;"-"&amp;13,'Jurnal Umum'!$J$6:$J$909,0)+5,"")</f>
        <v>44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96">
        <f t="array" ref="A22">IF($H22="","",INDEX('Jurnal Umum'!$A$6:$A$2564,$H22-5))</f>
        <v>46235</v>
      </c>
      <c r="B22" s="97" t="str">
        <f t="array" ref="B22">IF($H22="","",IFERROR(INDEX('Jurnal Umum'!$C$6:$C$2564,
 MATCH(1,
   ('Jurnal Umum'!$A$6:$A$2564=INDEX('Jurnal Umum'!$A$6:$A$2564,$H22-5)) *
   ('Jurnal Umum'!$C$6:$C$2564=INDEX('Jurnal Umum'!$C$6:$C$2564,$H22-5)) *
   ('Jurnal Umum'!$D$6:$D$2564&lt;&gt;$B$5)
 ,0)),""))</f>
        <v>Penjualan Bunga Ke Vendor - Mak Pon</v>
      </c>
      <c r="C22" s="98" t="str">
        <f t="array" ref="C22">IF($H22="","",INDEX('Jurnal Umum'!$B$6:$B$2564,$H22-5))</f>
        <v>PV-007</v>
      </c>
      <c r="D22" s="99">
        <f t="array" ref="D22">IF($H22="","",IF(INDEX('Jurnal Umum'!$F$6:$F$2564,$H22-5)="",0,INDEX('Jurnal Umum'!$F$6:$F$2564,$H22-5)))</f>
        <v>675000</v>
      </c>
      <c r="E22" s="99">
        <f t="array" ref="E22">IF($H22="","",IF(INDEX('Jurnal Umum'!$G$6:$G$2564,$H22-5)="",0,INDEX('Jurnal Umum'!$G$6:$G$2564,$H22-5)))</f>
        <v>0</v>
      </c>
      <c r="F22" s="100">
        <f t="shared" si="1"/>
        <v>13103481</v>
      </c>
      <c r="G22" s="80"/>
      <c r="H22" s="101">
        <f>IFERROR(MATCH($B$5&amp;"-"&amp;14,'Jurnal Umum'!$J$6:$J$909,0)+5,"")</f>
        <v>46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96">
        <f t="array" ref="A23">IF($H23="","",INDEX('Jurnal Umum'!$A$6:$A$2564,$H23-5))</f>
        <v>46237</v>
      </c>
      <c r="B23" s="97" t="str">
        <f t="array" ref="B23">IF($H23="","",IFERROR(INDEX('Jurnal Umum'!$C$6:$C$2564,
 MATCH(1,
   ('Jurnal Umum'!$A$6:$A$2564=INDEX('Jurnal Umum'!$A$6:$A$2564,$H23-5)) *
   ('Jurnal Umum'!$C$6:$C$2564=INDEX('Jurnal Umum'!$C$6:$C$2564,$H23-5)) *
   ('Jurnal Umum'!$D$6:$D$2564&lt;&gt;$B$5)
 ,0)),""))</f>
        <v>Pengembalian Dana Talangan Ongkir</v>
      </c>
      <c r="C23" s="98" t="str">
        <f t="array" ref="C23">IF($H23="","",INDEX('Jurnal Umum'!$B$6:$B$2564,$H23-5))</f>
        <v/>
      </c>
      <c r="D23" s="99">
        <f t="array" ref="D23">IF($H23="","",IF(INDEX('Jurnal Umum'!$F$6:$F$2564,$H23-5)="",0,INDEX('Jurnal Umum'!$F$6:$F$2564,$H23-5)))</f>
        <v>2038519</v>
      </c>
      <c r="E23" s="99">
        <f t="array" ref="E23">IF($H23="","",IF(INDEX('Jurnal Umum'!$G$6:$G$2564,$H23-5)="",0,INDEX('Jurnal Umum'!$G$6:$G$2564,$H23-5)))</f>
        <v>0</v>
      </c>
      <c r="F23" s="100">
        <f t="shared" si="1"/>
        <v>15142000</v>
      </c>
      <c r="G23" s="80"/>
      <c r="H23" s="101">
        <f>IFERROR(MATCH($B$5&amp;"-"&amp;15,'Jurnal Umum'!$J$6:$J$909,0)+5,"")</f>
        <v>48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96">
        <f t="array" ref="A24">IF($H24="","",INDEX('Jurnal Umum'!$A$6:$A$2564,$H24-5))</f>
        <v>46237</v>
      </c>
      <c r="B24" s="97" t="str">
        <f t="array" ref="B24">IF($H24="","",IFERROR(INDEX('Jurnal Umum'!$C$6:$C$2564,
 MATCH(1,
   ('Jurnal Umum'!$A$6:$A$2564=INDEX('Jurnal Umum'!$A$6:$A$2564,$H24-5)) *
   ('Jurnal Umum'!$C$6:$C$2564=INDEX('Jurnal Umum'!$C$6:$C$2564,$H24-5)) *
   ('Jurnal Umum'!$D$6:$D$2564&lt;&gt;$B$5)
 ,0)),""))</f>
        <v>Pembayaran Penjualan Tanggal 1</v>
      </c>
      <c r="C24" s="98" t="str">
        <f t="array" ref="C24">IF($H24="","",INDEX('Jurnal Umum'!$B$6:$B$2564,$H24-5))</f>
        <v/>
      </c>
      <c r="D24" s="99">
        <f t="array" ref="D24">IF($H24="","",IF(INDEX('Jurnal Umum'!$F$6:$F$2564,$H24-5)="",0,INDEX('Jurnal Umum'!$F$6:$F$2564,$H24-5)))</f>
        <v>2301250</v>
      </c>
      <c r="E24" s="99">
        <f t="array" ref="E24">IF($H24="","",IF(INDEX('Jurnal Umum'!$G$6:$G$2564,$H24-5)="",0,INDEX('Jurnal Umum'!$G$6:$G$2564,$H24-5)))</f>
        <v>0</v>
      </c>
      <c r="F24" s="100">
        <f t="shared" si="1"/>
        <v>17443250</v>
      </c>
      <c r="G24" s="80"/>
      <c r="H24" s="101">
        <f>IFERROR(MATCH($B$5&amp;"-"&amp;16,'Jurnal Umum'!$J$6:$J$909,0)+5,"")</f>
        <v>50</v>
      </c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96">
        <f t="array" ref="A25">IF($H25="","",INDEX('Jurnal Umum'!$A$6:$A$2564,$H25-5))</f>
        <v>46237</v>
      </c>
      <c r="B25" s="97" t="str">
        <f t="array" ref="B25">IF($H25="","",IFERROR(INDEX('Jurnal Umum'!$C$6:$C$2564,
 MATCH(1,
   ('Jurnal Umum'!$A$6:$A$2564=INDEX('Jurnal Umum'!$A$6:$A$2564,$H25-5)) *
   ('Jurnal Umum'!$C$6:$C$2564=INDEX('Jurnal Umum'!$C$6:$C$2564,$H25-5)) *
   ('Jurnal Umum'!$D$6:$D$2564&lt;&gt;$B$5)
 ,0)),""))</f>
        <v>Pembayaran Bunga WKF</v>
      </c>
      <c r="C25" s="98" t="str">
        <f t="array" ref="C25">IF($H25="","",INDEX('Jurnal Umum'!$B$6:$B$2564,$H25-5))</f>
        <v>BK-260803-001</v>
      </c>
      <c r="D25" s="99">
        <f t="array" ref="D25">IF($H25="","",IF(INDEX('Jurnal Umum'!$F$6:$F$2564,$H25-5)="",0,INDEX('Jurnal Umum'!$F$6:$F$2564,$H25-5)))</f>
        <v>0</v>
      </c>
      <c r="E25" s="99">
        <f t="array" ref="E25">IF($H25="","",IF(INDEX('Jurnal Umum'!$G$6:$G$2564,$H25-5)="",0,INDEX('Jurnal Umum'!$G$6:$G$2564,$H25-5)))</f>
        <v>180000</v>
      </c>
      <c r="F25" s="100">
        <f t="shared" si="1"/>
        <v>17263250</v>
      </c>
      <c r="G25" s="80"/>
      <c r="H25" s="101">
        <f>IFERROR(MATCH($B$5&amp;"-"&amp;17,'Jurnal Umum'!$J$6:$J$909,0)+5,"")</f>
        <v>53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96">
        <f t="array" ref="A26">IF($H26="","",INDEX('Jurnal Umum'!$A$6:$A$2564,$H26-5))</f>
        <v>46237</v>
      </c>
      <c r="B26" s="97" t="str">
        <f t="array" ref="B26">IF($H26="","",IFERROR(INDEX('Jurnal Umum'!$C$6:$C$2564,
 MATCH(1,
   ('Jurnal Umum'!$A$6:$A$2564=INDEX('Jurnal Umum'!$A$6:$A$2564,$H26-5)) *
   ('Jurnal Umum'!$C$6:$C$2564=INDEX('Jurnal Umum'!$C$6:$C$2564,$H26-5)) *
   ('Jurnal Umum'!$D$6:$D$2564&lt;&gt;$B$5)
 ,0)),""))</f>
        <v>Pembayaran Bunga WKF</v>
      </c>
      <c r="C26" s="98" t="str">
        <f t="array" ref="C26">IF($H26="","",INDEX('Jurnal Umum'!$B$6:$B$2564,$H26-5))</f>
        <v>BK-260803-002</v>
      </c>
      <c r="D26" s="99">
        <f t="array" ref="D26">IF($H26="","",IF(INDEX('Jurnal Umum'!$F$6:$F$2564,$H26-5)="",0,INDEX('Jurnal Umum'!$F$6:$F$2564,$H26-5)))</f>
        <v>0</v>
      </c>
      <c r="E26" s="99">
        <f t="array" ref="E26">IF($H26="","",IF(INDEX('Jurnal Umum'!$G$6:$G$2564,$H26-5)="",0,INDEX('Jurnal Umum'!$G$6:$G$2564,$H26-5)))</f>
        <v>50000</v>
      </c>
      <c r="F26" s="100">
        <f t="shared" si="1"/>
        <v>17213250</v>
      </c>
      <c r="G26" s="80"/>
      <c r="H26" s="101">
        <f>IFERROR(MATCH($B$5&amp;"-"&amp;18,'Jurnal Umum'!$J$6:$J$909,0)+5,"")</f>
        <v>55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96">
        <f t="array" ref="A27">IF($H27="","",INDEX('Jurnal Umum'!$A$6:$A$2564,$H27-5))</f>
        <v>46237</v>
      </c>
      <c r="B27" s="97" t="str">
        <f t="array" ref="B27">IF($H27="","",IFERROR(INDEX('Jurnal Umum'!$C$6:$C$2564,
 MATCH(1,
   ('Jurnal Umum'!$A$6:$A$2564=INDEX('Jurnal Umum'!$A$6:$A$2564,$H27-5)) *
   ('Jurnal Umum'!$C$6:$C$2564=INDEX('Jurnal Umum'!$C$6:$C$2564,$H27-5)) *
   ('Jurnal Umum'!$D$6:$D$2564&lt;&gt;$B$5)
 ,0)),""))</f>
        <v>Pembayaran Bunga di Grace Rose</v>
      </c>
      <c r="C27" s="98" t="str">
        <f t="array" ref="C27">IF($H27="","",INDEX('Jurnal Umum'!$B$6:$B$2564,$H27-5))</f>
        <v/>
      </c>
      <c r="D27" s="99">
        <f t="array" ref="D27">IF($H27="","",IF(INDEX('Jurnal Umum'!$F$6:$F$2564,$H27-5)="",0,INDEX('Jurnal Umum'!$F$6:$F$2564,$H27-5)))</f>
        <v>0</v>
      </c>
      <c r="E27" s="99">
        <f t="array" ref="E27">IF($H27="","",IF(INDEX('Jurnal Umum'!$G$6:$G$2564,$H27-5)="",0,INDEX('Jurnal Umum'!$G$6:$G$2564,$H27-5)))</f>
        <v>418000</v>
      </c>
      <c r="F27" s="100">
        <f t="shared" si="1"/>
        <v>16795250</v>
      </c>
      <c r="G27" s="80"/>
      <c r="H27" s="101">
        <f>IFERROR(MATCH($B$5&amp;"-"&amp;19,'Jurnal Umum'!$J$6:$J$909,0)+5,"")</f>
        <v>57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96">
        <f t="array" ref="A28">IF($H28="","",INDEX('Jurnal Umum'!$A$6:$A$2564,$H28-5))</f>
        <v>46237</v>
      </c>
      <c r="B28" s="97" t="str">
        <f t="array" ref="B28">IF($H28="","",IFERROR(INDEX('Jurnal Umum'!$C$6:$C$2564,
 MATCH(1,
   ('Jurnal Umum'!$A$6:$A$2564=INDEX('Jurnal Umum'!$A$6:$A$2564,$H28-5)) *
   ('Jurnal Umum'!$C$6:$C$2564=INDEX('Jurnal Umum'!$C$6:$C$2564,$H28-5)) *
   ('Jurnal Umum'!$D$6:$D$2564&lt;&gt;$B$5)
 ,0)),""))</f>
        <v>Pembelian Bunga di Vendor - Mak Pon</v>
      </c>
      <c r="C28" s="98" t="str">
        <f t="array" ref="C28">IF($H28="","",INDEX('Jurnal Umum'!$B$6:$B$2564,$H28-5))</f>
        <v/>
      </c>
      <c r="D28" s="99">
        <f t="array" ref="D28">IF($H28="","",IF(INDEX('Jurnal Umum'!$F$6:$F$2564,$H28-5)="",0,INDEX('Jurnal Umum'!$F$6:$F$2564,$H28-5)))</f>
        <v>0</v>
      </c>
      <c r="E28" s="99">
        <f t="array" ref="E28">IF($H28="","",IF(INDEX('Jurnal Umum'!$G$6:$G$2564,$H28-5)="",0,INDEX('Jurnal Umum'!$G$6:$G$2564,$H28-5)))</f>
        <v>380000</v>
      </c>
      <c r="F28" s="100">
        <f t="shared" si="1"/>
        <v>16415250</v>
      </c>
      <c r="G28" s="80"/>
      <c r="H28" s="101">
        <f>IFERROR(MATCH($B$5&amp;"-"&amp;20,'Jurnal Umum'!$J$6:$J$909,0)+5,"")</f>
        <v>59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96">
        <f t="array" ref="A29">IF($H29="","",INDEX('Jurnal Umum'!$A$6:$A$2564,$H29-5))</f>
        <v>46237</v>
      </c>
      <c r="B29" s="97" t="str">
        <f t="array" ref="B29">IF($H29="","",IFERROR(INDEX('Jurnal Umum'!$C$6:$C$2564,
 MATCH(1,
   ('Jurnal Umum'!$A$6:$A$2564=INDEX('Jurnal Umum'!$A$6:$A$2564,$H29-5)) *
   ('Jurnal Umum'!$C$6:$C$2564=INDEX('Jurnal Umum'!$C$6:$C$2564,$H29-5)) *
   ('Jurnal Umum'!$D$6:$D$2564&lt;&gt;$B$5)
 ,0)),""))</f>
        <v>Pembelian Bunga di Vendor - Pak Sumadi</v>
      </c>
      <c r="C29" s="98" t="str">
        <f t="array" ref="C29">IF($H29="","",INDEX('Jurnal Umum'!$B$6:$B$2564,$H29-5))</f>
        <v/>
      </c>
      <c r="D29" s="99">
        <f t="array" ref="D29">IF($H29="","",IF(INDEX('Jurnal Umum'!$F$6:$F$2564,$H29-5)="",0,INDEX('Jurnal Umum'!$F$6:$F$2564,$H29-5)))</f>
        <v>0</v>
      </c>
      <c r="E29" s="99">
        <f t="array" ref="E29">IF($H29="","",IF(INDEX('Jurnal Umum'!$G$6:$G$2564,$H29-5)="",0,INDEX('Jurnal Umum'!$G$6:$G$2564,$H29-5)))</f>
        <v>240000</v>
      </c>
      <c r="F29" s="100">
        <f t="shared" si="1"/>
        <v>16175250</v>
      </c>
      <c r="G29" s="80"/>
      <c r="H29" s="101">
        <f>IFERROR(MATCH($B$5&amp;"-"&amp;21,'Jurnal Umum'!$J$6:$J$909,0)+5,"")</f>
        <v>61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96">
        <f t="array" ref="A30">IF($H30="","",INDEX('Jurnal Umum'!$A$6:$A$2564,$H30-5))</f>
        <v>46237</v>
      </c>
      <c r="B30" s="97" t="str">
        <f t="array" ref="B30">IF($H30="","",IFERROR(INDEX('Jurnal Umum'!$C$6:$C$2564,
 MATCH(1,
   ('Jurnal Umum'!$A$6:$A$2564=INDEX('Jurnal Umum'!$A$6:$A$2564,$H30-5)) *
   ('Jurnal Umum'!$C$6:$C$2564=INDEX('Jurnal Umum'!$C$6:$C$2564,$H30-5)) *
   ('Jurnal Umum'!$D$6:$D$2564&lt;&gt;$B$5)
 ,0)),""))</f>
        <v>Pembelian Bunga ke Vendor - Mba Yeti</v>
      </c>
      <c r="C30" s="98" t="str">
        <f t="array" ref="C30">IF($H30="","",INDEX('Jurnal Umum'!$B$6:$B$2564,$H30-5))</f>
        <v/>
      </c>
      <c r="D30" s="99">
        <f t="array" ref="D30">IF($H30="","",IF(INDEX('Jurnal Umum'!$F$6:$F$2564,$H30-5)="",0,INDEX('Jurnal Umum'!$F$6:$F$2564,$H30-5)))</f>
        <v>0</v>
      </c>
      <c r="E30" s="99">
        <f t="array" ref="E30">IF($H30="","",IF(INDEX('Jurnal Umum'!$G$6:$G$2564,$H30-5)="",0,INDEX('Jurnal Umum'!$G$6:$G$2564,$H30-5)))</f>
        <v>390000</v>
      </c>
      <c r="F30" s="100">
        <f t="shared" si="1"/>
        <v>15785250</v>
      </c>
      <c r="G30" s="80"/>
      <c r="H30" s="101">
        <f>IFERROR(MATCH($B$5&amp;"-"&amp;22,'Jurnal Umum'!$J$6:$J$909,0)+5,"")</f>
        <v>81</v>
      </c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96">
        <f t="array" ref="A31">IF($H31="","",INDEX('Jurnal Umum'!$A$6:$A$2564,$H31-5))</f>
        <v>46238</v>
      </c>
      <c r="B31" s="97" t="str">
        <f t="array" ref="B31">IF($H31="","",IFERROR(INDEX('Jurnal Umum'!$C$6:$C$2564,
 MATCH(1,
   ('Jurnal Umum'!$A$6:$A$2564=INDEX('Jurnal Umum'!$A$6:$A$2564,$H31-5)) *
   ('Jurnal Umum'!$C$6:$C$2564=INDEX('Jurnal Umum'!$C$6:$C$2564,$H31-5)) *
   ('Jurnal Umum'!$D$6:$D$2564&lt;&gt;$B$5)
 ,0)),""))</f>
        <v>Pembelian Bunga ke Omniflora</v>
      </c>
      <c r="C31" s="98" t="str">
        <f t="array" ref="C31">IF($H31="","",INDEX('Jurnal Umum'!$B$6:$B$2564,$H31-5))</f>
        <v>BK-260804-001</v>
      </c>
      <c r="D31" s="99">
        <f t="array" ref="D31">IF($H31="","",IF(INDEX('Jurnal Umum'!$F$6:$F$2564,$H31-5)="",0,INDEX('Jurnal Umum'!$F$6:$F$2564,$H31-5)))</f>
        <v>0</v>
      </c>
      <c r="E31" s="99">
        <f t="array" ref="E31">IF($H31="","",IF(INDEX('Jurnal Umum'!$G$6:$G$2564,$H31-5)="",0,INDEX('Jurnal Umum'!$G$6:$G$2564,$H31-5)))</f>
        <v>930000</v>
      </c>
      <c r="F31" s="100">
        <f t="shared" si="1"/>
        <v>14855250</v>
      </c>
      <c r="G31" s="80"/>
      <c r="H31" s="101">
        <f>IFERROR(MATCH($B$5&amp;"-"&amp;23,'Jurnal Umum'!$J$6:$J$909,0)+5,"")</f>
        <v>83</v>
      </c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96">
        <f t="array" ref="A32">IF($H32="","",INDEX('Jurnal Umum'!$A$6:$A$2564,$H32-5))</f>
        <v>46238</v>
      </c>
      <c r="B32" s="97" t="str">
        <f t="array" ref="B32">IF($H32="","",IFERROR(INDEX('Jurnal Umum'!$C$6:$C$2564,
 MATCH(1,
   ('Jurnal Umum'!$A$6:$A$2564=INDEX('Jurnal Umum'!$A$6:$A$2564,$H32-5)) *
   ('Jurnal Umum'!$C$6:$C$2564=INDEX('Jurnal Umum'!$C$6:$C$2564,$H32-5)) *
   ('Jurnal Umum'!$D$6:$D$2564&lt;&gt;$B$5)
 ,0)),""))</f>
        <v>Pembayaran Ongkir Pembelian Bunga - Daytrans</v>
      </c>
      <c r="C32" s="98" t="str">
        <f t="array" ref="C32">IF($H32="","",INDEX('Jurnal Umum'!$B$6:$B$2564,$H32-5))</f>
        <v/>
      </c>
      <c r="D32" s="99">
        <f t="array" ref="D32">IF($H32="","",IF(INDEX('Jurnal Umum'!$F$6:$F$2564,$H32-5)="",0,INDEX('Jurnal Umum'!$F$6:$F$2564,$H32-5)))</f>
        <v>0</v>
      </c>
      <c r="E32" s="99">
        <f t="array" ref="E32">IF($H32="","",IF(INDEX('Jurnal Umum'!$G$6:$G$2564,$H32-5)="",0,INDEX('Jurnal Umum'!$G$6:$G$2564,$H32-5)))</f>
        <v>87500</v>
      </c>
      <c r="F32" s="100">
        <f t="shared" si="1"/>
        <v>14767750</v>
      </c>
      <c r="G32" s="80"/>
      <c r="H32" s="101">
        <f>IFERROR(MATCH($B$5&amp;"-"&amp;24,'Jurnal Umum'!$J$6:$J$909,0)+5,"")</f>
        <v>85</v>
      </c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96">
        <f t="array" ref="A33">IF($H33="","",INDEX('Jurnal Umum'!$A$6:$A$2564,$H33-5))</f>
        <v>46238</v>
      </c>
      <c r="B33" s="97" t="str">
        <f t="array" ref="B33">IF($H33="","",IFERROR(INDEX('Jurnal Umum'!$C$6:$C$2564,
 MATCH(1,
   ('Jurnal Umum'!$A$6:$A$2564=INDEX('Jurnal Umum'!$A$6:$A$2564,$H33-5)) *
   ('Jurnal Umum'!$C$6:$C$2564=INDEX('Jurnal Umum'!$C$6:$C$2564,$H33-5)) *
   ('Jurnal Umum'!$D$6:$D$2564&lt;&gt;$B$5)
 ,0)),""))</f>
        <v>Pembelian Paket Data - Mas Refan </v>
      </c>
      <c r="C33" s="98" t="str">
        <f t="array" ref="C33">IF($H33="","",INDEX('Jurnal Umum'!$B$6:$B$2564,$H33-5))</f>
        <v/>
      </c>
      <c r="D33" s="99">
        <f t="array" ref="D33">IF($H33="","",IF(INDEX('Jurnal Umum'!$F$6:$F$2564,$H33-5)="",0,INDEX('Jurnal Umum'!$F$6:$F$2564,$H33-5)))</f>
        <v>0</v>
      </c>
      <c r="E33" s="99">
        <f t="array" ref="E33">IF($H33="","",IF(INDEX('Jurnal Umum'!$G$6:$G$2564,$H33-5)="",0,INDEX('Jurnal Umum'!$G$6:$G$2564,$H33-5)))</f>
        <v>2800</v>
      </c>
      <c r="F33" s="100">
        <f t="shared" si="1"/>
        <v>14764950</v>
      </c>
      <c r="G33" s="80"/>
      <c r="H33" s="101">
        <f>IFERROR(MATCH($B$5&amp;"-"&amp;25,'Jurnal Umum'!$J$6:$J$909,0)+5,"")</f>
        <v>93</v>
      </c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96">
        <f t="array" ref="A34">IF($H34="","",INDEX('Jurnal Umum'!$A$6:$A$2564,$H34-5))</f>
        <v>46238</v>
      </c>
      <c r="B34" s="97" t="str">
        <f t="array" ref="B34">IF($H34="","",IFERROR(INDEX('Jurnal Umum'!$C$6:$C$2564,
 MATCH(1,
   ('Jurnal Umum'!$A$6:$A$2564=INDEX('Jurnal Umum'!$A$6:$A$2564,$H34-5)) *
   ('Jurnal Umum'!$C$6:$C$2564=INDEX('Jurnal Umum'!$C$6:$C$2564,$H34-5)) *
   ('Jurnal Umum'!$D$6:$D$2564&lt;&gt;$B$5)
 ,0)),""))</f>
        <v>Talangan Pembayaran Ongkir DMK Cargo</v>
      </c>
      <c r="C34" s="98" t="str">
        <f t="array" ref="C34">IF($H34="","",INDEX('Jurnal Umum'!$B$6:$B$2564,$H34-5))</f>
        <v/>
      </c>
      <c r="D34" s="99">
        <f t="array" ref="D34">IF($H34="","",IF(INDEX('Jurnal Umum'!$F$6:$F$2564,$H34-5)="",0,INDEX('Jurnal Umum'!$F$6:$F$2564,$H34-5)))</f>
        <v>0</v>
      </c>
      <c r="E34" s="99">
        <f t="array" ref="E34">IF($H34="","",IF(INDEX('Jurnal Umum'!$G$6:$G$2564,$H34-5)="",0,INDEX('Jurnal Umum'!$G$6:$G$2564,$H34-5)))</f>
        <v>1412159</v>
      </c>
      <c r="F34" s="100">
        <f t="shared" si="1"/>
        <v>13352791</v>
      </c>
      <c r="G34" s="80"/>
      <c r="H34" s="101">
        <f>IFERROR(MATCH($B$5&amp;"-"&amp;26,'Jurnal Umum'!$J$6:$J$909,0)+5,"")</f>
        <v>97</v>
      </c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96">
        <f t="array" ref="A35">IF($H35="","",INDEX('Jurnal Umum'!$A$6:$A$2564,$H35-5))</f>
        <v>46238</v>
      </c>
      <c r="B35" s="97" t="str">
        <f t="array" ref="B35">IF($H35="","",IFERROR(INDEX('Jurnal Umum'!$C$6:$C$2564,
 MATCH(1,
   ('Jurnal Umum'!$A$6:$A$2564=INDEX('Jurnal Umum'!$A$6:$A$2564,$H35-5)) *
   ('Jurnal Umum'!$C$6:$C$2564=INDEX('Jurnal Umum'!$C$6:$C$2564,$H35-5)) *
   ('Jurnal Umum'!$D$6:$D$2564&lt;&gt;$B$5)
 ,0)),""))</f>
        <v>Penjualan Bunga Tanggal 3</v>
      </c>
      <c r="C35" s="98" t="str">
        <f t="array" ref="C35">IF($H35="","",INDEX('Jurnal Umum'!$B$6:$B$2564,$H35-5))</f>
        <v/>
      </c>
      <c r="D35" s="99">
        <f t="array" ref="D35">IF($H35="","",IF(INDEX('Jurnal Umum'!$F$6:$F$2564,$H35-5)="",0,INDEX('Jurnal Umum'!$F$6:$F$2564,$H35-5)))</f>
        <v>1327250</v>
      </c>
      <c r="E35" s="99">
        <f t="array" ref="E35">IF($H35="","",IF(INDEX('Jurnal Umum'!$G$6:$G$2564,$H35-5)="",0,INDEX('Jurnal Umum'!$G$6:$G$2564,$H35-5)))</f>
        <v>0</v>
      </c>
      <c r="F35" s="100">
        <f t="shared" si="1"/>
        <v>14680041</v>
      </c>
      <c r="G35" s="80"/>
      <c r="H35" s="101">
        <f>IFERROR(MATCH($B$5&amp;"-"&amp;27,'Jurnal Umum'!$J$6:$J$909,0)+5,"")</f>
        <v>98</v>
      </c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96">
        <f t="array" ref="A36">IF($H36="","",INDEX('Jurnal Umum'!$A$6:$A$2564,$H36-5))</f>
        <v>46238</v>
      </c>
      <c r="B36" s="97" t="str">
        <f t="array" ref="B36">IF($H36="","",IFERROR(INDEX('Jurnal Umum'!$C$6:$C$2564,
 MATCH(1,
   ('Jurnal Umum'!$A$6:$A$2564=INDEX('Jurnal Umum'!$A$6:$A$2564,$H36-5)) *
   ('Jurnal Umum'!$C$6:$C$2564=INDEX('Jurnal Umum'!$C$6:$C$2564,$H36-5)) *
   ('Jurnal Umum'!$D$6:$D$2564&lt;&gt;$B$5)
 ,0)),""))</f>
        <v>Pengembalian Dana Talangan Ongkir</v>
      </c>
      <c r="C36" s="98" t="str">
        <f t="array" ref="C36">IF($H36="","",INDEX('Jurnal Umum'!$B$6:$B$2564,$H36-5))</f>
        <v/>
      </c>
      <c r="D36" s="99">
        <f t="array" ref="D36">IF($H36="","",IF(INDEX('Jurnal Umum'!$F$6:$F$2564,$H36-5)="",0,INDEX('Jurnal Umum'!$F$6:$F$2564,$H36-5)))</f>
        <v>1412159</v>
      </c>
      <c r="E36" s="99">
        <f t="array" ref="E36">IF($H36="","",IF(INDEX('Jurnal Umum'!$G$6:$G$2564,$H36-5)="",0,INDEX('Jurnal Umum'!$G$6:$G$2564,$H36-5)))</f>
        <v>0</v>
      </c>
      <c r="F36" s="100">
        <f t="shared" si="1"/>
        <v>16092200</v>
      </c>
      <c r="G36" s="80"/>
      <c r="H36" s="101">
        <f>IFERROR(MATCH($B$5&amp;"-"&amp;28,'Jurnal Umum'!$J$6:$J$909,0)+5,"")</f>
        <v>100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96">
        <f t="array" ref="A37">IF($H37="","",INDEX('Jurnal Umum'!$A$6:$A$2564,$H37-5))</f>
        <v>46238</v>
      </c>
      <c r="B37" s="97" t="str">
        <f t="array" ref="B37">IF($H37="","",IFERROR(INDEX('Jurnal Umum'!$C$6:$C$2564,
 MATCH(1,
   ('Jurnal Umum'!$A$6:$A$2564=INDEX('Jurnal Umum'!$A$6:$A$2564,$H37-5)) *
   ('Jurnal Umum'!$C$6:$C$2564=INDEX('Jurnal Umum'!$C$6:$C$2564,$H37-5)) *
   ('Jurnal Umum'!$D$6:$D$2564&lt;&gt;$B$5)
 ,0)),""))</f>
        <v>Pembelian Bunga Pikok di Mas Dana</v>
      </c>
      <c r="C37" s="98" t="str">
        <f t="array" ref="C37">IF($H37="","",INDEX('Jurnal Umum'!$B$6:$B$2564,$H37-5))</f>
        <v/>
      </c>
      <c r="D37" s="99">
        <f t="array" ref="D37">IF($H37="","",IF(INDEX('Jurnal Umum'!$F$6:$F$2564,$H37-5)="",0,INDEX('Jurnal Umum'!$F$6:$F$2564,$H37-5)))</f>
        <v>0</v>
      </c>
      <c r="E37" s="99">
        <f t="array" ref="E37">IF($H37="","",IF(INDEX('Jurnal Umum'!$G$6:$G$2564,$H37-5)="",0,INDEX('Jurnal Umum'!$G$6:$G$2564,$H37-5)))</f>
        <v>300000</v>
      </c>
      <c r="F37" s="100">
        <f t="shared" si="1"/>
        <v>15792200</v>
      </c>
      <c r="G37" s="80"/>
      <c r="H37" s="101">
        <f>IFERROR(MATCH($B$5&amp;"-"&amp;29,'Jurnal Umum'!$J$6:$J$909,0)+5,"")</f>
        <v>109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96">
        <f t="array" ref="A38">IF($H38="","",INDEX('Jurnal Umum'!$A$6:$A$2564,$H38-5))</f>
        <v>46239</v>
      </c>
      <c r="B38" s="97" t="str">
        <f t="array" ref="B38">IF($H38="","",IFERROR(INDEX('Jurnal Umum'!$C$6:$C$2564,
 MATCH(1,
   ('Jurnal Umum'!$A$6:$A$2564=INDEX('Jurnal Umum'!$A$6:$A$2564,$H38-5)) *
   ('Jurnal Umum'!$C$6:$C$2564=INDEX('Jurnal Umum'!$C$6:$C$2564,$H38-5)) *
   ('Jurnal Umum'!$D$6:$D$2564&lt;&gt;$B$5)
 ,0)),""))</f>
        <v>Talangan Ongkir DMK Cargo tanggal 4</v>
      </c>
      <c r="C38" s="98" t="str">
        <f t="array" ref="C38">IF($H38="","",INDEX('Jurnal Umum'!$B$6:$B$2564,$H38-5))</f>
        <v/>
      </c>
      <c r="D38" s="99">
        <f t="array" ref="D38">IF($H38="","",IF(INDEX('Jurnal Umum'!$F$6:$F$2564,$H38-5)="",0,INDEX('Jurnal Umum'!$F$6:$F$2564,$H38-5)))</f>
        <v>0</v>
      </c>
      <c r="E38" s="99">
        <f t="array" ref="E38">IF($H38="","",IF(INDEX('Jurnal Umum'!$G$6:$G$2564,$H38-5)="",0,INDEX('Jurnal Umum'!$G$6:$G$2564,$H38-5)))</f>
        <v>2211476</v>
      </c>
      <c r="F38" s="100">
        <f t="shared" si="1"/>
        <v>13580724</v>
      </c>
      <c r="G38" s="80"/>
      <c r="H38" s="101">
        <f>IFERROR(MATCH($B$5&amp;"-"&amp;30,'Jurnal Umum'!$J$6:$J$909,0)+5,"")</f>
        <v>113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96">
        <f t="array" ref="A39">IF($H39="","",INDEX('Jurnal Umum'!$A$6:$A$2564,$H39-5))</f>
        <v>46239</v>
      </c>
      <c r="B39" s="97" t="str">
        <f t="array" ref="B39">IF($H39="","",IFERROR(INDEX('Jurnal Umum'!$C$6:$C$2564,
 MATCH(1,
   ('Jurnal Umum'!$A$6:$A$2564=INDEX('Jurnal Umum'!$A$6:$A$2564,$H39-5)) *
   ('Jurnal Umum'!$C$6:$C$2564=INDEX('Jurnal Umum'!$C$6:$C$2564,$H39-5)) *
   ('Jurnal Umum'!$D$6:$D$2564&lt;&gt;$B$5)
 ,0)),""))</f>
        <v>Penjualan Bunga Tanggal 4</v>
      </c>
      <c r="C39" s="98" t="str">
        <f t="array" ref="C39">IF($H39="","",INDEX('Jurnal Umum'!$B$6:$B$2564,$H39-5))</f>
        <v/>
      </c>
      <c r="D39" s="99">
        <f t="array" ref="D39">IF($H39="","",IF(INDEX('Jurnal Umum'!$F$6:$F$2564,$H39-5)="",0,INDEX('Jurnal Umum'!$F$6:$F$2564,$H39-5)))</f>
        <v>4075000</v>
      </c>
      <c r="E39" s="99">
        <f t="array" ref="E39">IF($H39="","",IF(INDEX('Jurnal Umum'!$G$6:$G$2564,$H39-5)="",0,INDEX('Jurnal Umum'!$G$6:$G$2564,$H39-5)))</f>
        <v>0</v>
      </c>
      <c r="F39" s="100">
        <f t="shared" si="1"/>
        <v>17655724</v>
      </c>
      <c r="G39" s="80"/>
      <c r="H39" s="101">
        <f>IFERROR(MATCH($B$5&amp;"-"&amp;31,'Jurnal Umum'!$J$6:$J$909,0)+5,"")</f>
        <v>114</v>
      </c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96">
        <f t="array" ref="A40">IF($H40="","",INDEX('Jurnal Umum'!$A$6:$A$2564,$H40-5))</f>
        <v>46239</v>
      </c>
      <c r="B40" s="97" t="str">
        <f t="array" ref="B40">IF($H40="","",IFERROR(INDEX('Jurnal Umum'!$C$6:$C$2564,
 MATCH(1,
   ('Jurnal Umum'!$A$6:$A$2564=INDEX('Jurnal Umum'!$A$6:$A$2564,$H40-5)) *
   ('Jurnal Umum'!$C$6:$C$2564=INDEX('Jurnal Umum'!$C$6:$C$2564,$H40-5)) *
   ('Jurnal Umum'!$D$6:$D$2564&lt;&gt;$B$5)
 ,0)),""))</f>
        <v>Pengembalian Dana Talangan Ongkir tanggal 4</v>
      </c>
      <c r="C40" s="98" t="str">
        <f t="array" ref="C40">IF($H40="","",INDEX('Jurnal Umum'!$B$6:$B$2564,$H40-5))</f>
        <v/>
      </c>
      <c r="D40" s="99">
        <f t="array" ref="D40">IF($H40="","",IF(INDEX('Jurnal Umum'!$F$6:$F$2564,$H40-5)="",0,INDEX('Jurnal Umum'!$F$6:$F$2564,$H40-5)))</f>
        <v>2211476</v>
      </c>
      <c r="E40" s="99">
        <f t="array" ref="E40">IF($H40="","",IF(INDEX('Jurnal Umum'!$G$6:$G$2564,$H40-5)="",0,INDEX('Jurnal Umum'!$G$6:$G$2564,$H40-5)))</f>
        <v>0</v>
      </c>
      <c r="F40" s="100">
        <f t="shared" si="1"/>
        <v>19867200</v>
      </c>
      <c r="G40" s="80"/>
      <c r="H40" s="101">
        <f>IFERROR(MATCH($B$5&amp;"-"&amp;32,'Jurnal Umum'!$J$6:$J$909,0)+5,"")</f>
        <v>116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96">
        <f t="array" ref="A41">IF($H41="","",INDEX('Jurnal Umum'!$A$6:$A$2564,$H41-5))</f>
        <v>46239</v>
      </c>
      <c r="B41" s="97" t="str">
        <f t="array" ref="B41">IF($H41="","",IFERROR(INDEX('Jurnal Umum'!$C$6:$C$2564,
 MATCH(1,
   ('Jurnal Umum'!$A$6:$A$2564=INDEX('Jurnal Umum'!$A$6:$A$2564,$H41-5)) *
   ('Jurnal Umum'!$C$6:$C$2564=INDEX('Jurnal Umum'!$C$6:$C$2564,$H41-5)) *
   ('Jurnal Umum'!$D$6:$D$2564&lt;&gt;$B$5)
 ,0)),""))</f>
        <v>Pembelian Bunga di Pro Florist</v>
      </c>
      <c r="C41" s="98" t="str">
        <f t="array" ref="C41">IF($H41="","",INDEX('Jurnal Umum'!$B$6:$B$2564,$H41-5))</f>
        <v/>
      </c>
      <c r="D41" s="99">
        <f t="array" ref="D41">IF($H41="","",IF(INDEX('Jurnal Umum'!$F$6:$F$2564,$H41-5)="",0,INDEX('Jurnal Umum'!$F$6:$F$2564,$H41-5)))</f>
        <v>0</v>
      </c>
      <c r="E41" s="99">
        <f t="array" ref="E41">IF($H41="","",IF(INDEX('Jurnal Umum'!$G$6:$G$2564,$H41-5)="",0,INDEX('Jurnal Umum'!$G$6:$G$2564,$H41-5)))</f>
        <v>20000</v>
      </c>
      <c r="F41" s="100">
        <f t="shared" si="1"/>
        <v>19847200</v>
      </c>
      <c r="G41" s="80"/>
      <c r="H41" s="101">
        <f>IFERROR(MATCH($B$5&amp;"-"&amp;33,'Jurnal Umum'!$J$6:$J$909,0)+5,"")</f>
        <v>125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96">
        <f t="array" ref="A42">IF($H42="","",INDEX('Jurnal Umum'!$A$6:$A$2564,$H42-5))</f>
        <v>46239</v>
      </c>
      <c r="B42" s="97" t="str">
        <f t="array" ref="B42">IF($H42="","",IFERROR(INDEX('Jurnal Umum'!$C$6:$C$2564,
 MATCH(1,
   ('Jurnal Umum'!$A$6:$A$2564=INDEX('Jurnal Umum'!$A$6:$A$2564,$H42-5)) *
   ('Jurnal Umum'!$C$6:$C$2564=INDEX('Jurnal Umum'!$C$6:$C$2564,$H42-5)) *
   ('Jurnal Umum'!$D$6:$D$2564&lt;&gt;$B$5)
 ,0)),""))</f>
        <v>Pembelian Bunga di Vendor - Om Toha</v>
      </c>
      <c r="C42" s="98" t="str">
        <f t="array" ref="C42">IF($H42="","",INDEX('Jurnal Umum'!$B$6:$B$2564,$H42-5))</f>
        <v/>
      </c>
      <c r="D42" s="99">
        <f t="array" ref="D42">IF($H42="","",IF(INDEX('Jurnal Umum'!$F$6:$F$2564,$H42-5)="",0,INDEX('Jurnal Umum'!$F$6:$F$2564,$H42-5)))</f>
        <v>0</v>
      </c>
      <c r="E42" s="99">
        <f t="array" ref="E42">IF($H42="","",IF(INDEX('Jurnal Umum'!$G$6:$G$2564,$H42-5)="",0,INDEX('Jurnal Umum'!$G$6:$G$2564,$H42-5)))</f>
        <v>420000</v>
      </c>
      <c r="F42" s="100">
        <f t="shared" si="1"/>
        <v>19427200</v>
      </c>
      <c r="G42" s="80"/>
      <c r="H42" s="101">
        <f>IFERROR(MATCH($B$5&amp;"-"&amp;34,'Jurnal Umum'!$J$6:$J$909,0)+5,"")</f>
        <v>127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96">
        <f t="array" ref="A43">IF($H43="","",INDEX('Jurnal Umum'!$A$6:$A$2564,$H43-5))</f>
        <v>46239</v>
      </c>
      <c r="B43" s="97" t="str">
        <f t="array" ref="B43">IF($H43="","",IFERROR(INDEX('Jurnal Umum'!$C$6:$C$2564,
 MATCH(1,
   ('Jurnal Umum'!$A$6:$A$2564=INDEX('Jurnal Umum'!$A$6:$A$2564,$H43-5)) *
   ('Jurnal Umum'!$C$6:$C$2564=INDEX('Jurnal Umum'!$C$6:$C$2564,$H43-5)) *
   ('Jurnal Umum'!$D$6:$D$2564&lt;&gt;$B$5)
 ,0)),""))</f>
        <v>Pembelian Bunga di Vendor - Mba Ciput</v>
      </c>
      <c r="C43" s="98" t="str">
        <f t="array" ref="C43">IF($H43="","",INDEX('Jurnal Umum'!$B$6:$B$2564,$H43-5))</f>
        <v/>
      </c>
      <c r="D43" s="99">
        <f t="array" ref="D43">IF($H43="","",IF(INDEX('Jurnal Umum'!$F$6:$F$2564,$H43-5)="",0,INDEX('Jurnal Umum'!$F$6:$F$2564,$H43-5)))</f>
        <v>0</v>
      </c>
      <c r="E43" s="99">
        <f t="array" ref="E43">IF($H43="","",IF(INDEX('Jurnal Umum'!$G$6:$G$2564,$H43-5)="",0,INDEX('Jurnal Umum'!$G$6:$G$2564,$H43-5)))</f>
        <v>475000</v>
      </c>
      <c r="F43" s="100">
        <f t="shared" si="1"/>
        <v>18952200</v>
      </c>
      <c r="G43" s="80"/>
      <c r="H43" s="101">
        <f>IFERROR(MATCH($B$5&amp;"-"&amp;35,'Jurnal Umum'!$J$6:$J$909,0)+5,"")</f>
        <v>129</v>
      </c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96">
        <f t="array" ref="A44">IF($H44="","",INDEX('Jurnal Umum'!$A$6:$A$2564,$H44-5))</f>
        <v>46239</v>
      </c>
      <c r="B44" s="97" t="str">
        <f t="array" ref="B44">IF($H44="","",IFERROR(INDEX('Jurnal Umum'!$C$6:$C$2564,
 MATCH(1,
   ('Jurnal Umum'!$A$6:$A$2564=INDEX('Jurnal Umum'!$A$6:$A$2564,$H44-5)) *
   ('Jurnal Umum'!$C$6:$C$2564=INDEX('Jurnal Umum'!$C$6:$C$2564,$H44-5)) *
   ('Jurnal Umum'!$D$6:$D$2564&lt;&gt;$B$5)
 ,0)),""))</f>
        <v>Pembelian Bunga di WKF</v>
      </c>
      <c r="C44" s="98" t="str">
        <f t="array" ref="C44">IF($H44="","",INDEX('Jurnal Umum'!$B$6:$B$2564,$H44-5))</f>
        <v>BK-2608050001</v>
      </c>
      <c r="D44" s="99">
        <f t="array" ref="D44">IF($H44="","",IF(INDEX('Jurnal Umum'!$F$6:$F$2564,$H44-5)="",0,INDEX('Jurnal Umum'!$F$6:$F$2564,$H44-5)))</f>
        <v>0</v>
      </c>
      <c r="E44" s="99">
        <f t="array" ref="E44">IF($H44="","",IF(INDEX('Jurnal Umum'!$G$6:$G$2564,$H44-5)="",0,INDEX('Jurnal Umum'!$G$6:$G$2564,$H44-5)))</f>
        <v>380000</v>
      </c>
      <c r="F44" s="100">
        <f t="shared" si="1"/>
        <v>18572200</v>
      </c>
      <c r="G44" s="80"/>
      <c r="H44" s="101">
        <f>IFERROR(MATCH($B$5&amp;"-"&amp;36,'Jurnal Umum'!$J$6:$J$909,0)+5,"")</f>
        <v>139</v>
      </c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96">
        <f t="array" ref="A45">IF($H45="","",INDEX('Jurnal Umum'!$A$6:$A$2564,$H45-5))</f>
        <v>46240</v>
      </c>
      <c r="B45" s="97" t="str">
        <f t="array" ref="B45">IF($H45="","",IFERROR(INDEX('Jurnal Umum'!$C$6:$C$2564,
 MATCH(1,
   ('Jurnal Umum'!$A$6:$A$2564=INDEX('Jurnal Umum'!$A$6:$A$2564,$H45-5)) *
   ('Jurnal Umum'!$C$6:$C$2564=INDEX('Jurnal Umum'!$C$6:$C$2564,$H45-5)) *
   ('Jurnal Umum'!$D$6:$D$2564&lt;&gt;$B$5)
 ,0)),""))</f>
        <v>Talangan Ongkir DMK Cargo tgl 5</v>
      </c>
      <c r="C45" s="98" t="str">
        <f t="array" ref="C45">IF($H45="","",INDEX('Jurnal Umum'!$B$6:$B$2564,$H45-5))</f>
        <v/>
      </c>
      <c r="D45" s="99">
        <f t="array" ref="D45">IF($H45="","",IF(INDEX('Jurnal Umum'!$F$6:$F$2564,$H45-5)="",0,INDEX('Jurnal Umum'!$F$6:$F$2564,$H45-5)))</f>
        <v>0</v>
      </c>
      <c r="E45" s="99">
        <f t="array" ref="E45">IF($H45="","",IF(INDEX('Jurnal Umum'!$G$6:$G$2564,$H45-5)="",0,INDEX('Jurnal Umum'!$G$6:$G$2564,$H45-5)))</f>
        <v>1018280</v>
      </c>
      <c r="F45" s="100">
        <f t="shared" si="1"/>
        <v>17553920</v>
      </c>
      <c r="G45" s="80"/>
      <c r="H45" s="101">
        <f>IFERROR(MATCH($B$5&amp;"-"&amp;37,'Jurnal Umum'!$J$6:$J$909,0)+5,"")</f>
        <v>143</v>
      </c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96">
        <f t="array" ref="A46">IF($H46="","",INDEX('Jurnal Umum'!$A$6:$A$2564,$H46-5))</f>
        <v>46240</v>
      </c>
      <c r="B46" s="97" t="str">
        <f t="array" ref="B46">IF($H46="","",IFERROR(INDEX('Jurnal Umum'!$C$6:$C$2564,
 MATCH(1,
   ('Jurnal Umum'!$A$6:$A$2564=INDEX('Jurnal Umum'!$A$6:$A$2564,$H46-5)) *
   ('Jurnal Umum'!$C$6:$C$2564=INDEX('Jurnal Umum'!$C$6:$C$2564,$H46-5)) *
   ('Jurnal Umum'!$D$6:$D$2564&lt;&gt;$B$5)
 ,0)),""))</f>
        <v>Tarik Tunai untuk kas operasional</v>
      </c>
      <c r="C46" s="98" t="str">
        <f t="array" ref="C46">IF($H46="","",INDEX('Jurnal Umum'!$B$6:$B$2564,$H46-5))</f>
        <v/>
      </c>
      <c r="D46" s="99">
        <f t="array" ref="D46">IF($H46="","",IF(INDEX('Jurnal Umum'!$F$6:$F$2564,$H46-5)="",0,INDEX('Jurnal Umum'!$F$6:$F$2564,$H46-5)))</f>
        <v>0</v>
      </c>
      <c r="E46" s="99">
        <f t="array" ref="E46">IF($H46="","",IF(INDEX('Jurnal Umum'!$G$6:$G$2564,$H46-5)="",0,INDEX('Jurnal Umum'!$G$6:$G$2564,$H46-5)))</f>
        <v>2000000</v>
      </c>
      <c r="F46" s="100">
        <f t="shared" si="1"/>
        <v>15553920</v>
      </c>
      <c r="G46" s="80"/>
      <c r="H46" s="101">
        <f>IFERROR(MATCH($B$5&amp;"-"&amp;38,'Jurnal Umum'!$J$6:$J$909,0)+5,"")</f>
        <v>145</v>
      </c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96">
        <f t="array" ref="A47">IF($H47="","",INDEX('Jurnal Umum'!$A$6:$A$2564,$H47-5))</f>
        <v>46240</v>
      </c>
      <c r="B47" s="97" t="str">
        <f t="array" ref="B47">IF($H47="","",IFERROR(INDEX('Jurnal Umum'!$C$6:$C$2564,
 MATCH(1,
   ('Jurnal Umum'!$A$6:$A$2564=INDEX('Jurnal Umum'!$A$6:$A$2564,$H47-5)) *
   ('Jurnal Umum'!$C$6:$C$2564=INDEX('Jurnal Umum'!$C$6:$C$2564,$H47-5)) *
   ('Jurnal Umum'!$D$6:$D$2564&lt;&gt;$B$5)
 ,0)),""))</f>
        <v>Penjualan tgl 5</v>
      </c>
      <c r="C47" s="98" t="str">
        <f t="array" ref="C47">IF($H47="","",INDEX('Jurnal Umum'!$B$6:$B$2564,$H47-5))</f>
        <v/>
      </c>
      <c r="D47" s="99">
        <f t="array" ref="D47">IF($H47="","",IF(INDEX('Jurnal Umum'!$F$6:$F$2564,$H47-5)="",0,INDEX('Jurnal Umum'!$F$6:$F$2564,$H47-5)))</f>
        <v>2002750</v>
      </c>
      <c r="E47" s="99">
        <f t="array" ref="E47">IF($H47="","",IF(INDEX('Jurnal Umum'!$G$6:$G$2564,$H47-5)="",0,INDEX('Jurnal Umum'!$G$6:$G$2564,$H47-5)))</f>
        <v>0</v>
      </c>
      <c r="F47" s="100">
        <f t="shared" si="1"/>
        <v>17556670</v>
      </c>
      <c r="G47" s="80"/>
      <c r="H47" s="101">
        <f>IFERROR(MATCH($B$5&amp;"-"&amp;39,'Jurnal Umum'!$J$6:$J$909,0)+5,"")</f>
        <v>146</v>
      </c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96">
        <f t="array" ref="A48">IF($H48="","",INDEX('Jurnal Umum'!$A$6:$A$2564,$H48-5))</f>
        <v>46240</v>
      </c>
      <c r="B48" s="97" t="str">
        <f t="array" ref="B48">IF($H48="","",IFERROR(INDEX('Jurnal Umum'!$C$6:$C$2564,
 MATCH(1,
   ('Jurnal Umum'!$A$6:$A$2564=INDEX('Jurnal Umum'!$A$6:$A$2564,$H48-5)) *
   ('Jurnal Umum'!$C$6:$C$2564=INDEX('Jurnal Umum'!$C$6:$C$2564,$H48-5)) *
   ('Jurnal Umum'!$D$6:$D$2564&lt;&gt;$B$5)
 ,0)),""))</f>
        <v>Pengembalian Talangan Ongkir DMK Tgl 5</v>
      </c>
      <c r="C48" s="98" t="str">
        <f t="array" ref="C48">IF($H48="","",INDEX('Jurnal Umum'!$B$6:$B$2564,$H48-5))</f>
        <v/>
      </c>
      <c r="D48" s="99">
        <f t="array" ref="D48">IF($H48="","",IF(INDEX('Jurnal Umum'!$F$6:$F$2564,$H48-5)="",0,INDEX('Jurnal Umum'!$F$6:$F$2564,$H48-5)))</f>
        <v>1078280</v>
      </c>
      <c r="E48" s="99">
        <f t="array" ref="E48">IF($H48="","",IF(INDEX('Jurnal Umum'!$G$6:$G$2564,$H48-5)="",0,INDEX('Jurnal Umum'!$G$6:$G$2564,$H48-5)))</f>
        <v>0</v>
      </c>
      <c r="F48" s="100">
        <f t="shared" si="1"/>
        <v>18634950</v>
      </c>
      <c r="G48" s="80"/>
      <c r="H48" s="101">
        <f>IFERROR(MATCH($B$5&amp;"-"&amp;40,'Jurnal Umum'!$J$6:$J$909,0)+5,"")</f>
        <v>148</v>
      </c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96">
        <f t="array" ref="A49">IF($H49="","",INDEX('Jurnal Umum'!$A$6:$A$2564,$H49-5))</f>
        <v>46241</v>
      </c>
      <c r="B49" s="97" t="str">
        <f t="array" ref="B49">IF($H49="","",IFERROR(INDEX('Jurnal Umum'!$C$6:$C$2564,
 MATCH(1,
   ('Jurnal Umum'!$A$6:$A$2564=INDEX('Jurnal Umum'!$A$6:$A$2564,$H49-5)) *
   ('Jurnal Umum'!$C$6:$C$2564=INDEX('Jurnal Umum'!$C$6:$C$2564,$H49-5)) *
   ('Jurnal Umum'!$D$6:$D$2564&lt;&gt;$B$5)
 ,0)),""))</f>
        <v>Talangan Ongkir DMK Cargo tgl 6</v>
      </c>
      <c r="C49" s="98" t="str">
        <f t="array" ref="C49">IF($H49="","",INDEX('Jurnal Umum'!$B$6:$B$2564,$H49-5))</f>
        <v/>
      </c>
      <c r="D49" s="99">
        <f t="array" ref="D49">IF($H49="","",IF(INDEX('Jurnal Umum'!$F$6:$F$2564,$H49-5)="",0,INDEX('Jurnal Umum'!$F$6:$F$2564,$H49-5)))</f>
        <v>0</v>
      </c>
      <c r="E49" s="99">
        <f t="array" ref="E49">IF($H49="","",IF(INDEX('Jurnal Umum'!$G$6:$G$2564,$H49-5)="",0,INDEX('Jurnal Umum'!$G$6:$G$2564,$H49-5)))</f>
        <v>2002388</v>
      </c>
      <c r="F49" s="100">
        <f t="shared" si="1"/>
        <v>16632562</v>
      </c>
      <c r="G49" s="80"/>
      <c r="H49" s="101">
        <f>IFERROR(MATCH($B$5&amp;"-"&amp;41,'Jurnal Umum'!$J$6:$J$909,0)+5,"")</f>
        <v>169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96">
        <f t="array" ref="A50">IF($H50="","",INDEX('Jurnal Umum'!$A$6:$A$2564,$H50-5))</f>
        <v>46241</v>
      </c>
      <c r="B50" s="97" t="str">
        <f t="array" ref="B50">IF($H50="","",IFERROR(INDEX('Jurnal Umum'!$C$6:$C$2564,
 MATCH(1,
   ('Jurnal Umum'!$A$6:$A$2564=INDEX('Jurnal Umum'!$A$6:$A$2564,$H50-5)) *
   ('Jurnal Umum'!$C$6:$C$2564=INDEX('Jurnal Umum'!$C$6:$C$2564,$H50-5)) *
   ('Jurnal Umum'!$D$6:$D$2564&lt;&gt;$B$5)
 ,0)),""))</f>
        <v>Pengembalian Talangan Ongkir DMK Tgl 6</v>
      </c>
      <c r="C50" s="98" t="str">
        <f t="array" ref="C50">IF($H50="","",INDEX('Jurnal Umum'!$B$6:$B$2564,$H50-5))</f>
        <v/>
      </c>
      <c r="D50" s="99">
        <f t="array" ref="D50">IF($H50="","",IF(INDEX('Jurnal Umum'!$F$6:$F$2564,$H50-5)="",0,INDEX('Jurnal Umum'!$F$6:$F$2564,$H50-5)))</f>
        <v>2002388</v>
      </c>
      <c r="E50" s="99">
        <f t="array" ref="E50">IF($H50="","",IF(INDEX('Jurnal Umum'!$G$6:$G$2564,$H50-5)="",0,INDEX('Jurnal Umum'!$G$6:$G$2564,$H50-5)))</f>
        <v>0</v>
      </c>
      <c r="F50" s="100">
        <f t="shared" si="1"/>
        <v>18634950</v>
      </c>
      <c r="G50" s="80"/>
      <c r="H50" s="101">
        <f>IFERROR(MATCH($B$5&amp;"-"&amp;42,'Jurnal Umum'!$J$6:$J$909,0)+5,"")</f>
        <v>174</v>
      </c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96">
        <f t="array" ref="A51">IF($H51="","",INDEX('Jurnal Umum'!$A$6:$A$2564,$H51-5))</f>
        <v>46241</v>
      </c>
      <c r="B51" s="97" t="str">
        <f t="array" ref="B51">IF($H51="","",IFERROR(INDEX('Jurnal Umum'!$C$6:$C$2564,
 MATCH(1,
   ('Jurnal Umum'!$A$6:$A$2564=INDEX('Jurnal Umum'!$A$6:$A$2564,$H51-5)) *
   ('Jurnal Umum'!$C$6:$C$2564=INDEX('Jurnal Umum'!$C$6:$C$2564,$H51-5)) *
   ('Jurnal Umum'!$D$6:$D$2564&lt;&gt;$B$5)
 ,0)),""))</f>
        <v>Penjualan tgl 6</v>
      </c>
      <c r="C51" s="98" t="str">
        <f t="array" ref="C51">IF($H51="","",INDEX('Jurnal Umum'!$B$6:$B$2564,$H51-5))</f>
        <v/>
      </c>
      <c r="D51" s="99">
        <f t="array" ref="D51">IF($H51="","",IF(INDEX('Jurnal Umum'!$F$6:$F$2564,$H51-5)="",0,INDEX('Jurnal Umum'!$F$6:$F$2564,$H51-5)))</f>
        <v>2164250</v>
      </c>
      <c r="E51" s="99">
        <f t="array" ref="E51">IF($H51="","",IF(INDEX('Jurnal Umum'!$G$6:$G$2564,$H51-5)="",0,INDEX('Jurnal Umum'!$G$6:$G$2564,$H51-5)))</f>
        <v>0</v>
      </c>
      <c r="F51" s="100">
        <f t="shared" si="1"/>
        <v>20799200</v>
      </c>
      <c r="G51" s="80"/>
      <c r="H51" s="101">
        <f>IFERROR(MATCH($B$5&amp;"-"&amp;43,'Jurnal Umum'!$J$6:$J$909,0)+5,"")</f>
        <v>176</v>
      </c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96">
        <f t="array" ref="A52">IF($H52="","",INDEX('Jurnal Umum'!$A$6:$A$2564,$H52-5))</f>
        <v>46241</v>
      </c>
      <c r="B52" s="97" t="str">
        <f t="array" ref="B52">IF($H52="","",IFERROR(INDEX('Jurnal Umum'!$C$6:$C$2564,
 MATCH(1,
   ('Jurnal Umum'!$A$6:$A$2564=INDEX('Jurnal Umum'!$A$6:$A$2564,$H52-5)) *
   ('Jurnal Umum'!$C$6:$C$2564=INDEX('Jurnal Umum'!$C$6:$C$2564,$H52-5)) *
   ('Jurnal Umum'!$D$6:$D$2564&lt;&gt;$B$5)
 ,0)),""))</f>
        <v>Penjualan Bunga Matahari ke Vendor - Mba Ciput</v>
      </c>
      <c r="C52" s="98" t="str">
        <f t="array" ref="C52">IF($H52="","",INDEX('Jurnal Umum'!$B$6:$B$2564,$H52-5))</f>
        <v>PV-004</v>
      </c>
      <c r="D52" s="99">
        <f t="array" ref="D52">IF($H52="","",IF(INDEX('Jurnal Umum'!$F$6:$F$2564,$H52-5)="",0,INDEX('Jurnal Umum'!$F$6:$F$2564,$H52-5)))</f>
        <v>50000</v>
      </c>
      <c r="E52" s="99">
        <f t="array" ref="E52">IF($H52="","",IF(INDEX('Jurnal Umum'!$G$6:$G$2564,$H52-5)="",0,INDEX('Jurnal Umum'!$G$6:$G$2564,$H52-5)))</f>
        <v>0</v>
      </c>
      <c r="F52" s="100">
        <f t="shared" si="1"/>
        <v>20849200</v>
      </c>
      <c r="G52" s="80"/>
      <c r="H52" s="101">
        <f>IFERROR(MATCH($B$5&amp;"-"&amp;44,'Jurnal Umum'!$J$6:$J$909,0)+5,"")</f>
        <v>186</v>
      </c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96">
        <f t="array" ref="A53">IF($H53="","",INDEX('Jurnal Umum'!$A$6:$A$2564,$H53-5))</f>
        <v>46242</v>
      </c>
      <c r="B53" s="97" t="str">
        <f t="array" ref="B53">IF($H53="","",IFERROR(INDEX('Jurnal Umum'!$C$6:$C$2564,
 MATCH(1,
   ('Jurnal Umum'!$A$6:$A$2564=INDEX('Jurnal Umum'!$A$6:$A$2564,$H53-5)) *
   ('Jurnal Umum'!$C$6:$C$2564=INDEX('Jurnal Umum'!$C$6:$C$2564,$H53-5)) *
   ('Jurnal Umum'!$D$6:$D$2564&lt;&gt;$B$5)
 ,0)),""))</f>
        <v>Pembayaran Bunga ke Atha Flora</v>
      </c>
      <c r="C53" s="98" t="str">
        <f t="array" ref="C53">IF($H53="","",INDEX('Jurnal Umum'!$B$6:$B$2564,$H53-5))</f>
        <v>BK-260807-001</v>
      </c>
      <c r="D53" s="99">
        <f t="array" ref="D53">IF($H53="","",IF(INDEX('Jurnal Umum'!$F$6:$F$2564,$H53-5)="",0,INDEX('Jurnal Umum'!$F$6:$F$2564,$H53-5)))</f>
        <v>0</v>
      </c>
      <c r="E53" s="99">
        <f t="array" ref="E53">IF($H53="","",IF(INDEX('Jurnal Umum'!$G$6:$G$2564,$H53-5)="",0,INDEX('Jurnal Umum'!$G$6:$G$2564,$H53-5)))</f>
        <v>90000</v>
      </c>
      <c r="F53" s="100">
        <f t="shared" si="1"/>
        <v>20759200</v>
      </c>
      <c r="G53" s="80"/>
      <c r="H53" s="101">
        <f>IFERROR(MATCH($B$5&amp;"-"&amp;45,'Jurnal Umum'!$J$6:$J$909,0)+5,"")</f>
        <v>199</v>
      </c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96">
        <f t="array" ref="A54">IF($H54="","",INDEX('Jurnal Umum'!$A$6:$A$2564,$H54-5))</f>
        <v>46242</v>
      </c>
      <c r="B54" s="97" t="str">
        <f t="array" ref="B54">IF($H54="","",IFERROR(INDEX('Jurnal Umum'!$C$6:$C$2564,
 MATCH(1,
   ('Jurnal Umum'!$A$6:$A$2564=INDEX('Jurnal Umum'!$A$6:$A$2564,$H54-5)) *
   ('Jurnal Umum'!$C$6:$C$2564=INDEX('Jurnal Umum'!$C$6:$C$2564,$H54-5)) *
   ('Jurnal Umum'!$D$6:$D$2564&lt;&gt;$B$5)
 ,0)),""))</f>
        <v>Pembelian Bunga ke Vendor - Mba Yeti</v>
      </c>
      <c r="C54" s="98" t="str">
        <f t="array" ref="C54">IF($H54="","",INDEX('Jurnal Umum'!$B$6:$B$2564,$H54-5))</f>
        <v/>
      </c>
      <c r="D54" s="99">
        <f t="array" ref="D54">IF($H54="","",IF(INDEX('Jurnal Umum'!$F$6:$F$2564,$H54-5)="",0,INDEX('Jurnal Umum'!$F$6:$F$2564,$H54-5)))</f>
        <v>0</v>
      </c>
      <c r="E54" s="99">
        <f t="array" ref="E54">IF($H54="","",IF(INDEX('Jurnal Umum'!$G$6:$G$2564,$H54-5)="",0,INDEX('Jurnal Umum'!$G$6:$G$2564,$H54-5)))</f>
        <v>285000</v>
      </c>
      <c r="F54" s="100">
        <f t="shared" si="1"/>
        <v>20474200</v>
      </c>
      <c r="G54" s="80"/>
      <c r="H54" s="101">
        <f>IFERROR(MATCH($B$5&amp;"-"&amp;46,'Jurnal Umum'!$J$6:$J$909,0)+5,"")</f>
        <v>201</v>
      </c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96">
        <f t="array" ref="A55">IF($H55="","",INDEX('Jurnal Umum'!$A$6:$A$2564,$H55-5))</f>
        <v>46242</v>
      </c>
      <c r="B55" s="97" t="str">
        <f t="array" ref="B55">IF($H55="","",IFERROR(INDEX('Jurnal Umum'!$C$6:$C$2564,
 MATCH(1,
   ('Jurnal Umum'!$A$6:$A$2564=INDEX('Jurnal Umum'!$A$6:$A$2564,$H55-5)) *
   ('Jurnal Umum'!$C$6:$C$2564=INDEX('Jurnal Umum'!$C$6:$C$2564,$H55-5)) *
   ('Jurnal Umum'!$D$6:$D$2564&lt;&gt;$B$5)
 ,0)),""))</f>
        <v>Pembelian Bunga di Rasty</v>
      </c>
      <c r="C55" s="98" t="str">
        <f t="array" ref="C55">IF($H55="","",INDEX('Jurnal Umum'!$B$6:$B$2564,$H55-5))</f>
        <v/>
      </c>
      <c r="D55" s="99">
        <f t="array" ref="D55">IF($H55="","",IF(INDEX('Jurnal Umum'!$F$6:$F$2564,$H55-5)="",0,INDEX('Jurnal Umum'!$F$6:$F$2564,$H55-5)))</f>
        <v>0</v>
      </c>
      <c r="E55" s="99">
        <f t="array" ref="E55">IF($H55="","",IF(INDEX('Jurnal Umum'!$G$6:$G$2564,$H55-5)="",0,INDEX('Jurnal Umum'!$G$6:$G$2564,$H55-5)))</f>
        <v>10000</v>
      </c>
      <c r="F55" s="100">
        <f t="shared" si="1"/>
        <v>20464200</v>
      </c>
      <c r="G55" s="80"/>
      <c r="H55" s="101">
        <f>IFERROR(MATCH($B$5&amp;"-"&amp;47,'Jurnal Umum'!$J$6:$J$909,0)+5,"")</f>
        <v>203</v>
      </c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96">
        <f t="array" ref="A56">IF($H56="","",INDEX('Jurnal Umum'!$A$6:$A$2564,$H56-5))</f>
        <v>46242</v>
      </c>
      <c r="B56" s="97" t="str">
        <f t="array" ref="B56">IF($H56="","",IFERROR(INDEX('Jurnal Umum'!$C$6:$C$2564,
 MATCH(1,
   ('Jurnal Umum'!$A$6:$A$2564=INDEX('Jurnal Umum'!$A$6:$A$2564,$H56-5)) *
   ('Jurnal Umum'!$C$6:$C$2564=INDEX('Jurnal Umum'!$C$6:$C$2564,$H56-5)) *
   ('Jurnal Umum'!$D$6:$D$2564&lt;&gt;$B$5)
 ,0)),""))</f>
        <v>Talangan Ongkir DMK Cargo Tgl 7</v>
      </c>
      <c r="C56" s="98" t="str">
        <f t="array" ref="C56">IF($H56="","",INDEX('Jurnal Umum'!$B$6:$B$2564,$H56-5))</f>
        <v/>
      </c>
      <c r="D56" s="99">
        <f t="array" ref="D56">IF($H56="","",IF(INDEX('Jurnal Umum'!$F$6:$F$2564,$H56-5)="",0,INDEX('Jurnal Umum'!$F$6:$F$2564,$H56-5)))</f>
        <v>0</v>
      </c>
      <c r="E56" s="99">
        <f t="array" ref="E56">IF($H56="","",IF(INDEX('Jurnal Umum'!$G$6:$G$2564,$H56-5)="",0,INDEX('Jurnal Umum'!$G$6:$G$2564,$H56-5)))</f>
        <v>886717</v>
      </c>
      <c r="F56" s="100">
        <f t="shared" si="1"/>
        <v>19577483</v>
      </c>
      <c r="G56" s="80"/>
      <c r="H56" s="101">
        <f>IFERROR(MATCH($B$5&amp;"-"&amp;48,'Jurnal Umum'!$J$6:$J$909,0)+5,"")</f>
        <v>205</v>
      </c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96">
        <f t="array" ref="A57">IF($H57="","",INDEX('Jurnal Umum'!$A$6:$A$2564,$H57-5))</f>
        <v>46242</v>
      </c>
      <c r="B57" s="97" t="str">
        <f t="array" ref="B57">IF($H57="","",IFERROR(INDEX('Jurnal Umum'!$C$6:$C$2564,
 MATCH(1,
   ('Jurnal Umum'!$A$6:$A$2564=INDEX('Jurnal Umum'!$A$6:$A$2564,$H57-5)) *
   ('Jurnal Umum'!$C$6:$C$2564=INDEX('Jurnal Umum'!$C$6:$C$2564,$H57-5)) *
   ('Jurnal Umum'!$D$6:$D$2564&lt;&gt;$B$5)
 ,0)),""))</f>
        <v>Kasbon Karyawan - Mba Dinda</v>
      </c>
      <c r="C57" s="98" t="str">
        <f t="array" ref="C57">IF($H57="","",INDEX('Jurnal Umum'!$B$6:$B$2564,$H57-5))</f>
        <v/>
      </c>
      <c r="D57" s="99">
        <f t="array" ref="D57">IF($H57="","",IF(INDEX('Jurnal Umum'!$F$6:$F$2564,$H57-5)="",0,INDEX('Jurnal Umum'!$F$6:$F$2564,$H57-5)))</f>
        <v>0</v>
      </c>
      <c r="E57" s="99">
        <f t="array" ref="E57">IF($H57="","",IF(INDEX('Jurnal Umum'!$G$6:$G$2564,$H57-5)="",0,INDEX('Jurnal Umum'!$G$6:$G$2564,$H57-5)))</f>
        <v>500000</v>
      </c>
      <c r="F57" s="100">
        <f t="shared" si="1"/>
        <v>19077483</v>
      </c>
      <c r="G57" s="80"/>
      <c r="H57" s="101">
        <f>IFERROR(MATCH($B$5&amp;"-"&amp;49,'Jurnal Umum'!$J$6:$J$909,0)+5,"")</f>
        <v>207</v>
      </c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96">
        <f t="array" ref="A58">IF($H58="","",INDEX('Jurnal Umum'!$A$6:$A$2564,$H58-5))</f>
        <v>46242</v>
      </c>
      <c r="B58" s="97" t="str">
        <f t="array" ref="B58">IF($H58="","",IFERROR(INDEX('Jurnal Umum'!$C$6:$C$2564,
 MATCH(1,
   ('Jurnal Umum'!$A$6:$A$2564=INDEX('Jurnal Umum'!$A$6:$A$2564,$H58-5)) *
   ('Jurnal Umum'!$C$6:$C$2564=INDEX('Jurnal Umum'!$C$6:$C$2564,$H58-5)) *
   ('Jurnal Umum'!$D$6:$D$2564&lt;&gt;$B$5)
 ,0)),""))</f>
        <v>Pembayaran Gaji Mingguan - Mas Sandi</v>
      </c>
      <c r="C58" s="98" t="str">
        <f t="array" ref="C58">IF($H58="","",INDEX('Jurnal Umum'!$B$6:$B$2564,$H58-5))</f>
        <v/>
      </c>
      <c r="D58" s="99">
        <f t="array" ref="D58">IF($H58="","",IF(INDEX('Jurnal Umum'!$F$6:$F$2564,$H58-5)="",0,INDEX('Jurnal Umum'!$F$6:$F$2564,$H58-5)))</f>
        <v>0</v>
      </c>
      <c r="E58" s="99">
        <f t="array" ref="E58">IF($H58="","",IF(INDEX('Jurnal Umum'!$G$6:$G$2564,$H58-5)="",0,INDEX('Jurnal Umum'!$G$6:$G$2564,$H58-5)))</f>
        <v>500000</v>
      </c>
      <c r="F58" s="100">
        <f t="shared" si="1"/>
        <v>18577483</v>
      </c>
      <c r="G58" s="80"/>
      <c r="H58" s="101">
        <f>IFERROR(MATCH($B$5&amp;"-"&amp;50,'Jurnal Umum'!$J$6:$J$909,0)+5,"")</f>
        <v>209</v>
      </c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96">
        <f t="array" ref="A59">IF($H59="","",INDEX('Jurnal Umum'!$A$6:$A$2564,$H59-5))</f>
        <v>46242</v>
      </c>
      <c r="B59" s="97" t="str">
        <f t="array" ref="B59">IF($H59="","",IFERROR(INDEX('Jurnal Umum'!$C$6:$C$2564,
 MATCH(1,
   ('Jurnal Umum'!$A$6:$A$2564=INDEX('Jurnal Umum'!$A$6:$A$2564,$H59-5)) *
   ('Jurnal Umum'!$C$6:$C$2564=INDEX('Jurnal Umum'!$C$6:$C$2564,$H59-5)) *
   ('Jurnal Umum'!$D$6:$D$2564&lt;&gt;$B$5)
 ,0)),""))</f>
        <v>Pengembalian Talangan Ongkir DMK Cargo tgl 7</v>
      </c>
      <c r="C59" s="98" t="str">
        <f t="array" ref="C59">IF($H59="","",INDEX('Jurnal Umum'!$B$6:$B$2564,$H59-5))</f>
        <v/>
      </c>
      <c r="D59" s="99">
        <f t="array" ref="D59">IF($H59="","",IF(INDEX('Jurnal Umum'!$F$6:$F$2564,$H59-5)="",0,INDEX('Jurnal Umum'!$F$6:$F$2564,$H59-5)))</f>
        <v>886717</v>
      </c>
      <c r="E59" s="99">
        <f t="array" ref="E59">IF($H59="","",IF(INDEX('Jurnal Umum'!$G$6:$G$2564,$H59-5)="",0,INDEX('Jurnal Umum'!$G$6:$G$2564,$H59-5)))</f>
        <v>0</v>
      </c>
      <c r="F59" s="100">
        <f t="shared" si="1"/>
        <v>19464200</v>
      </c>
      <c r="G59" s="80"/>
      <c r="H59" s="101">
        <f>IFERROR(MATCH($B$5&amp;"-"&amp;51,'Jurnal Umum'!$J$6:$J$909,0)+5,"")</f>
        <v>210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96">
        <f t="array" ref="A60">IF($H60="","",INDEX('Jurnal Umum'!$A$6:$A$2564,$H60-5))</f>
        <v>46242</v>
      </c>
      <c r="B60" s="97" t="str">
        <f t="array" ref="B60">IF($H60="","",IFERROR(INDEX('Jurnal Umum'!$C$6:$C$2564,
 MATCH(1,
   ('Jurnal Umum'!$A$6:$A$2564=INDEX('Jurnal Umum'!$A$6:$A$2564,$H60-5)) *
   ('Jurnal Umum'!$C$6:$C$2564=INDEX('Jurnal Umum'!$C$6:$C$2564,$H60-5)) *
   ('Jurnal Umum'!$D$6:$D$2564&lt;&gt;$B$5)
 ,0)),""))</f>
        <v>Penjualan tgl 7</v>
      </c>
      <c r="C60" s="98" t="str">
        <f t="array" ref="C60">IF($H60="","",INDEX('Jurnal Umum'!$B$6:$B$2564,$H60-5))</f>
        <v/>
      </c>
      <c r="D60" s="99">
        <f t="array" ref="D60">IF($H60="","",IF(INDEX('Jurnal Umum'!$F$6:$F$2564,$H60-5)="",0,INDEX('Jurnal Umum'!$F$6:$F$2564,$H60-5)))</f>
        <v>2085000</v>
      </c>
      <c r="E60" s="99">
        <f t="array" ref="E60">IF($H60="","",IF(INDEX('Jurnal Umum'!$G$6:$G$2564,$H60-5)="",0,INDEX('Jurnal Umum'!$G$6:$G$2564,$H60-5)))</f>
        <v>0</v>
      </c>
      <c r="F60" s="100">
        <f t="shared" si="1"/>
        <v>21549200</v>
      </c>
      <c r="G60" s="80"/>
      <c r="H60" s="101">
        <f>IFERROR(MATCH($B$5&amp;"-"&amp;52,'Jurnal Umum'!$J$6:$J$909,0)+5,"")</f>
        <v>212</v>
      </c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96">
        <f t="array" ref="A61">IF($H61="","",INDEX('Jurnal Umum'!$A$6:$A$2564,$H61-5))</f>
        <v>46243</v>
      </c>
      <c r="B61" s="97" t="str">
        <f t="array" ref="B61">IF($H61="","",IFERROR(INDEX('Jurnal Umum'!$C$6:$C$2564,
 MATCH(1,
   ('Jurnal Umum'!$A$6:$A$2564=INDEX('Jurnal Umum'!$A$6:$A$2564,$H61-5)) *
   ('Jurnal Umum'!$C$6:$C$2564=INDEX('Jurnal Umum'!$C$6:$C$2564,$H61-5)) *
   ('Jurnal Umum'!$D$6:$D$2564&lt;&gt;$B$5)
 ,0)),""))</f>
        <v>Talangan Ongkir DMK Cargo tgl 08</v>
      </c>
      <c r="C61" s="98" t="str">
        <f t="array" ref="C61">IF($H61="","",INDEX('Jurnal Umum'!$B$6:$B$2564,$H61-5))</f>
        <v/>
      </c>
      <c r="D61" s="99">
        <f t="array" ref="D61">IF($H61="","",IF(INDEX('Jurnal Umum'!$F$6:$F$2564,$H61-5)="",0,INDEX('Jurnal Umum'!$F$6:$F$2564,$H61-5)))</f>
        <v>0</v>
      </c>
      <c r="E61" s="99">
        <f t="array" ref="E61">IF($H61="","",IF(INDEX('Jurnal Umum'!$G$6:$G$2564,$H61-5)="",0,INDEX('Jurnal Umum'!$G$6:$G$2564,$H61-5)))</f>
        <v>1154360</v>
      </c>
      <c r="F61" s="100">
        <f t="shared" si="1"/>
        <v>20394840</v>
      </c>
      <c r="G61" s="80"/>
      <c r="H61" s="101">
        <f>IFERROR(MATCH($B$5&amp;"-"&amp;53,'Jurnal Umum'!$J$6:$J$909,0)+5,"")</f>
        <v>229</v>
      </c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96">
        <f t="array" ref="A62">IF($H62="","",INDEX('Jurnal Umum'!$A$6:$A$2564,$H62-5))</f>
        <v>46243</v>
      </c>
      <c r="B62" s="97" t="str">
        <f t="array" ref="B62">IF($H62="","",IFERROR(INDEX('Jurnal Umum'!$C$6:$C$2564,
 MATCH(1,
   ('Jurnal Umum'!$A$6:$A$2564=INDEX('Jurnal Umum'!$A$6:$A$2564,$H62-5)) *
   ('Jurnal Umum'!$C$6:$C$2564=INDEX('Jurnal Umum'!$C$6:$C$2564,$H62-5)) *
   ('Jurnal Umum'!$D$6:$D$2564&lt;&gt;$B$5)
 ,0)),""))</f>
        <v>Penjualan Bunga ke Vendor - Mas Abizar</v>
      </c>
      <c r="C62" s="98" t="str">
        <f t="array" ref="C62">IF($H62="","",INDEX('Jurnal Umum'!$B$6:$B$2564,$H62-5))</f>
        <v>PV-006</v>
      </c>
      <c r="D62" s="99">
        <f t="array" ref="D62">IF($H62="","",IF(INDEX('Jurnal Umum'!$F$6:$F$2564,$H62-5)="",0,INDEX('Jurnal Umum'!$F$6:$F$2564,$H62-5)))</f>
        <v>32000</v>
      </c>
      <c r="E62" s="99">
        <f t="array" ref="E62">IF($H62="","",IF(INDEX('Jurnal Umum'!$G$6:$G$2564,$H62-5)="",0,INDEX('Jurnal Umum'!$G$6:$G$2564,$H62-5)))</f>
        <v>0</v>
      </c>
      <c r="F62" s="100">
        <f t="shared" si="1"/>
        <v>20426840</v>
      </c>
      <c r="G62" s="80"/>
      <c r="H62" s="101">
        <f>IFERROR(MATCH($B$5&amp;"-"&amp;54,'Jurnal Umum'!$J$6:$J$909,0)+5,"")</f>
        <v>230</v>
      </c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96">
        <f t="array" ref="A63">IF($H63="","",INDEX('Jurnal Umum'!$A$6:$A$2564,$H63-5))</f>
        <v>46243</v>
      </c>
      <c r="B63" s="97" t="str">
        <f t="array" ref="B63">IF($H63="","",IFERROR(INDEX('Jurnal Umum'!$C$6:$C$2564,
 MATCH(1,
   ('Jurnal Umum'!$A$6:$A$2564=INDEX('Jurnal Umum'!$A$6:$A$2564,$H63-5)) *
   ('Jurnal Umum'!$C$6:$C$2564=INDEX('Jurnal Umum'!$C$6:$C$2564,$H63-5)) *
   ('Jurnal Umum'!$D$6:$D$2564&lt;&gt;$B$5)
 ,0)),""))</f>
        <v>Pengembalian Talangan Ongkir tgl 08</v>
      </c>
      <c r="C63" s="98" t="str">
        <f t="array" ref="C63">IF($H63="","",INDEX('Jurnal Umum'!$B$6:$B$2564,$H63-5))</f>
        <v/>
      </c>
      <c r="D63" s="99">
        <f t="array" ref="D63">IF($H63="","",IF(INDEX('Jurnal Umum'!$F$6:$F$2564,$H63-5)="",0,INDEX('Jurnal Umum'!$F$6:$F$2564,$H63-5)))</f>
        <v>1154360</v>
      </c>
      <c r="E63" s="99">
        <f t="array" ref="E63">IF($H63="","",IF(INDEX('Jurnal Umum'!$G$6:$G$2564,$H63-5)="",0,INDEX('Jurnal Umum'!$G$6:$G$2564,$H63-5)))</f>
        <v>0</v>
      </c>
      <c r="F63" s="100">
        <f t="shared" si="1"/>
        <v>21581200</v>
      </c>
      <c r="G63" s="80"/>
      <c r="H63" s="101">
        <f>IFERROR(MATCH($B$5&amp;"-"&amp;55,'Jurnal Umum'!$J$6:$J$909,0)+5,"")</f>
        <v>232</v>
      </c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96">
        <f t="array" ref="A64">IF($H64="","",INDEX('Jurnal Umum'!$A$6:$A$2564,$H64-5))</f>
        <v>46243</v>
      </c>
      <c r="B64" s="97" t="str">
        <f t="array" ref="B64">IF($H64="","",IFERROR(INDEX('Jurnal Umum'!$C$6:$C$2564,
 MATCH(1,
   ('Jurnal Umum'!$A$6:$A$2564=INDEX('Jurnal Umum'!$A$6:$A$2564,$H64-5)) *
   ('Jurnal Umum'!$C$6:$C$2564=INDEX('Jurnal Umum'!$C$6:$C$2564,$H64-5)) *
   ('Jurnal Umum'!$D$6:$D$2564&lt;&gt;$B$5)
 ,0)),""))</f>
        <v>Penjualan tanggal 8</v>
      </c>
      <c r="C64" s="98" t="str">
        <f t="array" ref="C64">IF($H64="","",INDEX('Jurnal Umum'!$B$6:$B$2564,$H64-5))</f>
        <v/>
      </c>
      <c r="D64" s="99">
        <f t="array" ref="D64">IF($H64="","",IF(INDEX('Jurnal Umum'!$F$6:$F$2564,$H64-5)="",0,INDEX('Jurnal Umum'!$F$6:$F$2564,$H64-5)))</f>
        <v>1176250</v>
      </c>
      <c r="E64" s="99">
        <f t="array" ref="E64">IF($H64="","",IF(INDEX('Jurnal Umum'!$G$6:$G$2564,$H64-5)="",0,INDEX('Jurnal Umum'!$G$6:$G$2564,$H64-5)))</f>
        <v>0</v>
      </c>
      <c r="F64" s="100">
        <f t="shared" si="1"/>
        <v>22757450</v>
      </c>
      <c r="G64" s="80"/>
      <c r="H64" s="101">
        <f>IFERROR(MATCH($B$5&amp;"-"&amp;56,'Jurnal Umum'!$J$6:$J$909,0)+5,"")</f>
        <v>234</v>
      </c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96">
        <f t="array" ref="A65">IF($H65="","",INDEX('Jurnal Umum'!$A$6:$A$2564,$H65-5))</f>
        <v>46244</v>
      </c>
      <c r="B65" s="97" t="str">
        <f t="array" ref="B65">IF($H65="","",IFERROR(INDEX('Jurnal Umum'!$C$6:$C$2564,
 MATCH(1,
   ('Jurnal Umum'!$A$6:$A$2564=INDEX('Jurnal Umum'!$A$6:$A$2564,$H65-5)) *
   ('Jurnal Umum'!$C$6:$C$2564=INDEX('Jurnal Umum'!$C$6:$C$2564,$H65-5)) *
   ('Jurnal Umum'!$D$6:$D$2564&lt;&gt;$B$5)
 ,0)),""))</f>
        <v>Pembelian token PLN Cold Storage</v>
      </c>
      <c r="C65" s="98" t="str">
        <f t="array" ref="C65">IF($H65="","",INDEX('Jurnal Umum'!$B$6:$B$2564,$H65-5))</f>
        <v/>
      </c>
      <c r="D65" s="99">
        <f t="array" ref="D65">IF($H65="","",IF(INDEX('Jurnal Umum'!$F$6:$F$2564,$H65-5)="",0,INDEX('Jurnal Umum'!$F$6:$F$2564,$H65-5)))</f>
        <v>0</v>
      </c>
      <c r="E65" s="99">
        <f t="array" ref="E65">IF($H65="","",IF(INDEX('Jurnal Umum'!$G$6:$G$2564,$H65-5)="",0,INDEX('Jurnal Umum'!$G$6:$G$2564,$H65-5)))</f>
        <v>503000</v>
      </c>
      <c r="F65" s="100">
        <f t="shared" si="1"/>
        <v>22254450</v>
      </c>
      <c r="G65" s="80"/>
      <c r="H65" s="101">
        <f>IFERROR(MATCH($B$5&amp;"-"&amp;57,'Jurnal Umum'!$J$6:$J$909,0)+5,"")</f>
        <v>245</v>
      </c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96">
        <f t="array" ref="A66">IF($H66="","",INDEX('Jurnal Umum'!$A$6:$A$2564,$H66-5))</f>
        <v>46244</v>
      </c>
      <c r="B66" s="97" t="str">
        <f t="array" ref="B66">IF($H66="","",IFERROR(INDEX('Jurnal Umum'!$C$6:$C$2564,
 MATCH(1,
   ('Jurnal Umum'!$A$6:$A$2564=INDEX('Jurnal Umum'!$A$6:$A$2564,$H66-5)) *
   ('Jurnal Umum'!$C$6:$C$2564=INDEX('Jurnal Umum'!$C$6:$C$2564,$H66-5)) *
   ('Jurnal Umum'!$D$6:$D$2564&lt;&gt;$B$5)
 ,0)),""))</f>
        <v>Pembelian Bunga di Vendor - Mba Yeti</v>
      </c>
      <c r="C66" s="98" t="str">
        <f t="array" ref="C66">IF($H66="","",INDEX('Jurnal Umum'!$B$6:$B$2564,$H66-5))</f>
        <v/>
      </c>
      <c r="D66" s="99">
        <f t="array" ref="D66">IF($H66="","",IF(INDEX('Jurnal Umum'!$F$6:$F$2564,$H66-5)="",0,INDEX('Jurnal Umum'!$F$6:$F$2564,$H66-5)))</f>
        <v>0</v>
      </c>
      <c r="E66" s="99">
        <f t="array" ref="E66">IF($H66="","",IF(INDEX('Jurnal Umum'!$G$6:$G$2564,$H66-5)="",0,INDEX('Jurnal Umum'!$G$6:$G$2564,$H66-5)))</f>
        <v>839000</v>
      </c>
      <c r="F66" s="100">
        <f t="shared" si="1"/>
        <v>21415450</v>
      </c>
      <c r="G66" s="80"/>
      <c r="H66" s="101">
        <f>IFERROR(MATCH($B$5&amp;"-"&amp;58,'Jurnal Umum'!$J$6:$J$909,0)+5,"")</f>
        <v>247</v>
      </c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96">
        <f t="array" ref="A67">IF($H67="","",INDEX('Jurnal Umum'!$A$6:$A$2564,$H67-5))</f>
        <v>46244</v>
      </c>
      <c r="B67" s="97" t="str">
        <f t="array" ref="B67">IF($H67="","",IFERROR(INDEX('Jurnal Umum'!$C$6:$C$2564,
 MATCH(1,
   ('Jurnal Umum'!$A$6:$A$2564=INDEX('Jurnal Umum'!$A$6:$A$2564,$H67-5)) *
   ('Jurnal Umum'!$C$6:$C$2564=INDEX('Jurnal Umum'!$C$6:$C$2564,$H67-5)) *
   ('Jurnal Umum'!$D$6:$D$2564&lt;&gt;$B$5)
 ,0)),""))</f>
        <v>Pembelian Bunga di WKF</v>
      </c>
      <c r="C67" s="98" t="str">
        <f t="array" ref="C67">IF($H67="","",INDEX('Jurnal Umum'!$B$6:$B$2564,$H67-5))</f>
        <v>BK-260810-001</v>
      </c>
      <c r="D67" s="99">
        <f t="array" ref="D67">IF($H67="","",IF(INDEX('Jurnal Umum'!$F$6:$F$2564,$H67-5)="",0,INDEX('Jurnal Umum'!$F$6:$F$2564,$H67-5)))</f>
        <v>0</v>
      </c>
      <c r="E67" s="99">
        <f t="array" ref="E67">IF($H67="","",IF(INDEX('Jurnal Umum'!$G$6:$G$2564,$H67-5)="",0,INDEX('Jurnal Umum'!$G$6:$G$2564,$H67-5)))</f>
        <v>835000</v>
      </c>
      <c r="F67" s="100">
        <f t="shared" si="1"/>
        <v>20580450</v>
      </c>
      <c r="G67" s="80"/>
      <c r="H67" s="101">
        <f>IFERROR(MATCH($B$5&amp;"-"&amp;59,'Jurnal Umum'!$J$6:$J$909,0)+5,"")</f>
        <v>249</v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96">
        <f t="array" ref="A68">IF($H68="","",INDEX('Jurnal Umum'!$A$6:$A$2564,$H68-5))</f>
        <v>46245</v>
      </c>
      <c r="B68" s="97" t="str">
        <f t="array" ref="B68">IF($H68="","",IFERROR(INDEX('Jurnal Umum'!$C$6:$C$2564,
 MATCH(1,
   ('Jurnal Umum'!$A$6:$A$2564=INDEX('Jurnal Umum'!$A$6:$A$2564,$H68-5)) *
   ('Jurnal Umum'!$C$6:$C$2564=INDEX('Jurnal Umum'!$C$6:$C$2564,$H68-5)) *
   ('Jurnal Umum'!$D$6:$D$2564&lt;&gt;$B$5)
 ,0)),""))</f>
        <v>Talangan Ongkir DMK Cargo tgl 11</v>
      </c>
      <c r="C68" s="98" t="str">
        <f t="array" ref="C68">IF($H68="","",INDEX('Jurnal Umum'!$B$6:$B$2564,$H68-5))</f>
        <v/>
      </c>
      <c r="D68" s="99">
        <f t="array" ref="D68">IF($H68="","",IF(INDEX('Jurnal Umum'!$F$6:$F$2564,$H68-5)="",0,INDEX('Jurnal Umum'!$F$6:$F$2564,$H68-5)))</f>
        <v>0</v>
      </c>
      <c r="E68" s="99">
        <f t="array" ref="E68">IF($H68="","",IF(INDEX('Jurnal Umum'!$G$6:$G$2564,$H68-5)="",0,INDEX('Jurnal Umum'!$G$6:$G$2564,$H68-5)))</f>
        <v>3402396</v>
      </c>
      <c r="F68" s="100">
        <f t="shared" si="1"/>
        <v>17178054</v>
      </c>
      <c r="G68" s="80"/>
      <c r="H68" s="101">
        <f>IFERROR(MATCH($B$5&amp;"-"&amp;60,'Jurnal Umum'!$J$6:$J$909,0)+5,"")</f>
        <v>263</v>
      </c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96">
        <f t="array" ref="A69">IF($H69="","",INDEX('Jurnal Umum'!$A$6:$A$2564,$H69-5))</f>
        <v>46245</v>
      </c>
      <c r="B69" s="97" t="str">
        <f t="array" ref="B69">IF($H69="","",IFERROR(INDEX('Jurnal Umum'!$C$6:$C$2564,
 MATCH(1,
   ('Jurnal Umum'!$A$6:$A$2564=INDEX('Jurnal Umum'!$A$6:$A$2564,$H69-5)) *
   ('Jurnal Umum'!$C$6:$C$2564=INDEX('Jurnal Umum'!$C$6:$C$2564,$H69-5)) *
   ('Jurnal Umum'!$D$6:$D$2564&lt;&gt;$B$5)
 ,0)),""))</f>
        <v>Pembayaran Kardus Packing</v>
      </c>
      <c r="C69" s="98" t="str">
        <f t="array" ref="C69">IF($H69="","",INDEX('Jurnal Umum'!$B$6:$B$2564,$H69-5))</f>
        <v/>
      </c>
      <c r="D69" s="99">
        <f t="array" ref="D69">IF($H69="","",IF(INDEX('Jurnal Umum'!$F$6:$F$2564,$H69-5)="",0,INDEX('Jurnal Umum'!$F$6:$F$2564,$H69-5)))</f>
        <v>0</v>
      </c>
      <c r="E69" s="99">
        <f t="array" ref="E69">IF($H69="","",IF(INDEX('Jurnal Umum'!$G$6:$G$2564,$H69-5)="",0,INDEX('Jurnal Umum'!$G$6:$G$2564,$H69-5)))</f>
        <v>1000000</v>
      </c>
      <c r="F69" s="100">
        <f t="shared" si="1"/>
        <v>16178054</v>
      </c>
      <c r="G69" s="80"/>
      <c r="H69" s="101">
        <f>IFERROR(MATCH($B$5&amp;"-"&amp;61,'Jurnal Umum'!$J$6:$J$909,0)+5,"")</f>
        <v>265</v>
      </c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96">
        <f t="array" ref="A70">IF($H70="","",INDEX('Jurnal Umum'!$A$6:$A$2564,$H70-5))</f>
        <v>46245</v>
      </c>
      <c r="B70" s="97" t="str">
        <f t="array" ref="B70">IF($H70="","",IFERROR(INDEX('Jurnal Umum'!$C$6:$C$2564,
 MATCH(1,
   ('Jurnal Umum'!$A$6:$A$2564=INDEX('Jurnal Umum'!$A$6:$A$2564,$H70-5)) *
   ('Jurnal Umum'!$C$6:$C$2564=INDEX('Jurnal Umum'!$C$6:$C$2564,$H70-5)) *
   ('Jurnal Umum'!$D$6:$D$2564&lt;&gt;$B$5)
 ,0)),""))</f>
        <v>Tarik Tunai untuk kas operasional</v>
      </c>
      <c r="C70" s="98" t="str">
        <f t="array" ref="C70">IF($H70="","",INDEX('Jurnal Umum'!$B$6:$B$2564,$H70-5))</f>
        <v/>
      </c>
      <c r="D70" s="99">
        <f t="array" ref="D70">IF($H70="","",IF(INDEX('Jurnal Umum'!$F$6:$F$2564,$H70-5)="",0,INDEX('Jurnal Umum'!$F$6:$F$2564,$H70-5)))</f>
        <v>0</v>
      </c>
      <c r="E70" s="99">
        <f t="array" ref="E70">IF($H70="","",IF(INDEX('Jurnal Umum'!$G$6:$G$2564,$H70-5)="",0,INDEX('Jurnal Umum'!$G$6:$G$2564,$H70-5)))</f>
        <v>600000</v>
      </c>
      <c r="F70" s="100">
        <f t="shared" si="1"/>
        <v>15578054</v>
      </c>
      <c r="G70" s="80"/>
      <c r="H70" s="101">
        <f>IFERROR(MATCH($B$5&amp;"-"&amp;62,'Jurnal Umum'!$J$6:$J$909,0)+5,"")</f>
        <v>267</v>
      </c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96">
        <f t="array" ref="A71">IF($H71="","",INDEX('Jurnal Umum'!$A$6:$A$2564,$H71-5))</f>
        <v>46245</v>
      </c>
      <c r="B71" s="97" t="str">
        <f t="array" ref="B71">IF($H71="","",IFERROR(INDEX('Jurnal Umum'!$C$6:$C$2564,
 MATCH(1,
   ('Jurnal Umum'!$A$6:$A$2564=INDEX('Jurnal Umum'!$A$6:$A$2564,$H71-5)) *
   ('Jurnal Umum'!$C$6:$C$2564=INDEX('Jurnal Umum'!$C$6:$C$2564,$H71-5)) *
   ('Jurnal Umum'!$D$6:$D$2564&lt;&gt;$B$5)
 ,0)),""))</f>
        <v>Pembayaran penjualan tanggal 10</v>
      </c>
      <c r="C71" s="98" t="str">
        <f t="array" ref="C71">IF($H71="","",INDEX('Jurnal Umum'!$B$6:$B$2564,$H71-5))</f>
        <v/>
      </c>
      <c r="D71" s="99">
        <f t="array" ref="D71">IF($H71="","",IF(INDEX('Jurnal Umum'!$F$6:$F$2564,$H71-5)="",0,INDEX('Jurnal Umum'!$F$6:$F$2564,$H71-5)))</f>
        <v>3727000</v>
      </c>
      <c r="E71" s="99">
        <f t="array" ref="E71">IF($H71="","",IF(INDEX('Jurnal Umum'!$G$6:$G$2564,$H71-5)="",0,INDEX('Jurnal Umum'!$G$6:$G$2564,$H71-5)))</f>
        <v>0</v>
      </c>
      <c r="F71" s="100">
        <f t="shared" si="1"/>
        <v>19305054</v>
      </c>
      <c r="G71" s="80"/>
      <c r="H71" s="101">
        <f>IFERROR(MATCH($B$5&amp;"-"&amp;63,'Jurnal Umum'!$J$6:$J$909,0)+5,"")</f>
        <v>280</v>
      </c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96">
        <f t="array" ref="A72">IF($H72="","",INDEX('Jurnal Umum'!$A$6:$A$2564,$H72-5))</f>
        <v>46245</v>
      </c>
      <c r="B72" s="97" t="str">
        <f t="array" ref="B72">IF($H72="","",IFERROR(INDEX('Jurnal Umum'!$C$6:$C$2564,
 MATCH(1,
   ('Jurnal Umum'!$A$6:$A$2564=INDEX('Jurnal Umum'!$A$6:$A$2564,$H72-5)) *
   ('Jurnal Umum'!$C$6:$C$2564=INDEX('Jurnal Umum'!$C$6:$C$2564,$H72-5)) *
   ('Jurnal Umum'!$D$6:$D$2564&lt;&gt;$B$5)
 ,0)),""))</f>
        <v>Pengembalian talangan DMK Cargo tgl 10</v>
      </c>
      <c r="C72" s="98" t="str">
        <f t="array" ref="C72">IF($H72="","",INDEX('Jurnal Umum'!$B$6:$B$2564,$H72-5))</f>
        <v/>
      </c>
      <c r="D72" s="99">
        <f t="array" ref="D72">IF($H72="","",IF(INDEX('Jurnal Umum'!$F$6:$F$2564,$H72-5)="",0,INDEX('Jurnal Umum'!$F$6:$F$2564,$H72-5)))</f>
        <v>3402396</v>
      </c>
      <c r="E72" s="99">
        <f t="array" ref="E72">IF($H72="","",IF(INDEX('Jurnal Umum'!$G$6:$G$2564,$H72-5)="",0,INDEX('Jurnal Umum'!$G$6:$G$2564,$H72-5)))</f>
        <v>0</v>
      </c>
      <c r="F72" s="100">
        <f t="shared" si="1"/>
        <v>22707450</v>
      </c>
      <c r="G72" s="80"/>
      <c r="H72" s="101">
        <f>IFERROR(MATCH($B$5&amp;"-"&amp;64,'Jurnal Umum'!$J$6:$J$909,0)+5,"")</f>
        <v>282</v>
      </c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96">
        <f t="array" ref="A73">IF($H73="","",INDEX('Jurnal Umum'!$A$6:$A$2564,$H73-5))</f>
        <v>46246</v>
      </c>
      <c r="B73" s="97" t="str">
        <f t="array" ref="B73">IF($H73="","",IFERROR(INDEX('Jurnal Umum'!$C$6:$C$2564,
 MATCH(1,
   ('Jurnal Umum'!$A$6:$A$2564=INDEX('Jurnal Umum'!$A$6:$A$2564,$H73-5)) *
   ('Jurnal Umum'!$C$6:$C$2564=INDEX('Jurnal Umum'!$C$6:$C$2564,$H73-5)) *
   ('Jurnal Umum'!$D$6:$D$2564&lt;&gt;$B$5)
 ,0)),""))</f>
        <v>Pembelian Bunga ke WKF</v>
      </c>
      <c r="C73" s="98" t="str">
        <f t="array" ref="C73">IF($H73="","",INDEX('Jurnal Umum'!$B$6:$B$2564,$H73-5))</f>
        <v>BK-260812-001</v>
      </c>
      <c r="D73" s="99">
        <f t="array" ref="D73">IF($H73="","",IF(INDEX('Jurnal Umum'!$F$6:$F$2564,$H73-5)="",0,INDEX('Jurnal Umum'!$F$6:$F$2564,$H73-5)))</f>
        <v>0</v>
      </c>
      <c r="E73" s="99">
        <f t="array" ref="E73">IF($H73="","",IF(INDEX('Jurnal Umum'!$G$6:$G$2564,$H73-5)="",0,INDEX('Jurnal Umum'!$G$6:$G$2564,$H73-5)))</f>
        <v>215000</v>
      </c>
      <c r="F73" s="100">
        <f t="shared" si="1"/>
        <v>22492450</v>
      </c>
      <c r="G73" s="80"/>
      <c r="H73" s="101">
        <f>IFERROR(MATCH($B$5&amp;"-"&amp;65,'Jurnal Umum'!$J$6:$J$909,0)+5,"")</f>
        <v>287</v>
      </c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96">
        <f t="array" ref="A74">IF($H74="","",INDEX('Jurnal Umum'!$A$6:$A$2564,$H74-5))</f>
        <v>46246</v>
      </c>
      <c r="B74" s="97" t="str">
        <f t="array" ref="B74">IF($H74="","",IFERROR(INDEX('Jurnal Umum'!$C$6:$C$2564,
 MATCH(1,
   ('Jurnal Umum'!$A$6:$A$2564=INDEX('Jurnal Umum'!$A$6:$A$2564,$H74-5)) *
   ('Jurnal Umum'!$C$6:$C$2564=INDEX('Jurnal Umum'!$C$6:$C$2564,$H74-5)) *
   ('Jurnal Umum'!$D$6:$D$2564&lt;&gt;$B$5)
 ,0)),""))</f>
        <v>Talangan Ongkir DMK Cargo tanggal 11</v>
      </c>
      <c r="C74" s="98" t="str">
        <f t="array" ref="C74">IF($H74="","",INDEX('Jurnal Umum'!$B$6:$B$2564,$H74-5))</f>
        <v/>
      </c>
      <c r="D74" s="99">
        <f t="array" ref="D74">IF($H74="","",IF(INDEX('Jurnal Umum'!$F$6:$F$2564,$H74-5)="",0,INDEX('Jurnal Umum'!$F$6:$F$2564,$H74-5)))</f>
        <v>0</v>
      </c>
      <c r="E74" s="99">
        <f t="array" ref="E74">IF($H74="","",IF(INDEX('Jurnal Umum'!$G$6:$G$2564,$H74-5)="",0,INDEX('Jurnal Umum'!$G$6:$G$2564,$H74-5)))</f>
        <v>1295496</v>
      </c>
      <c r="F74" s="100">
        <f t="shared" si="1"/>
        <v>21196954</v>
      </c>
      <c r="G74" s="80"/>
      <c r="H74" s="101">
        <f>IFERROR(MATCH($B$5&amp;"-"&amp;66,'Jurnal Umum'!$J$6:$J$909,0)+5,"")</f>
        <v>289</v>
      </c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96">
        <f t="array" ref="A75">IF($H75="","",INDEX('Jurnal Umum'!$A$6:$A$2564,$H75-5))</f>
        <v>46246</v>
      </c>
      <c r="B75" s="97" t="str">
        <f t="array" ref="B75">IF($H75="","",IFERROR(INDEX('Jurnal Umum'!$C$6:$C$2564,
 MATCH(1,
   ('Jurnal Umum'!$A$6:$A$2564=INDEX('Jurnal Umum'!$A$6:$A$2564,$H75-5)) *
   ('Jurnal Umum'!$C$6:$C$2564=INDEX('Jurnal Umum'!$C$6:$C$2564,$H75-5)) *
   ('Jurnal Umum'!$D$6:$D$2564&lt;&gt;$B$5)
 ,0)),""))</f>
        <v>Pembelian Bunga di Vendor - Mba Yeti</v>
      </c>
      <c r="C75" s="98" t="str">
        <f t="array" ref="C75">IF($H75="","",INDEX('Jurnal Umum'!$B$6:$B$2564,$H75-5))</f>
        <v/>
      </c>
      <c r="D75" s="99">
        <f t="array" ref="D75">IF($H75="","",IF(INDEX('Jurnal Umum'!$F$6:$F$2564,$H75-5)="",0,INDEX('Jurnal Umum'!$F$6:$F$2564,$H75-5)))</f>
        <v>0</v>
      </c>
      <c r="E75" s="99">
        <f t="array" ref="E75">IF($H75="","",IF(INDEX('Jurnal Umum'!$G$6:$G$2564,$H75-5)="",0,INDEX('Jurnal Umum'!$G$6:$G$2564,$H75-5)))</f>
        <v>275000</v>
      </c>
      <c r="F75" s="100">
        <f t="shared" si="1"/>
        <v>20921954</v>
      </c>
      <c r="G75" s="80"/>
      <c r="H75" s="101">
        <f>IFERROR(MATCH($B$5&amp;"-"&amp;67,'Jurnal Umum'!$J$6:$J$909,0)+5,"")</f>
        <v>291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96">
        <f t="array" ref="A76">IF($H76="","",INDEX('Jurnal Umum'!$A$6:$A$2564,$H76-5))</f>
        <v>46246</v>
      </c>
      <c r="B76" s="97" t="str">
        <f t="array" ref="B76">IF($H76="","",IFERROR(INDEX('Jurnal Umum'!$C$6:$C$2564,
 MATCH(1,
   ('Jurnal Umum'!$A$6:$A$2564=INDEX('Jurnal Umum'!$A$6:$A$2564,$H76-5)) *
   ('Jurnal Umum'!$C$6:$C$2564=INDEX('Jurnal Umum'!$C$6:$C$2564,$H76-5)) *
   ('Jurnal Umum'!$D$6:$D$2564&lt;&gt;$B$5)
 ,0)),""))</f>
        <v>Pembayaran Gaji Karyawan - Mba Dinda</v>
      </c>
      <c r="C76" s="98" t="str">
        <f t="array" ref="C76">IF($H76="","",INDEX('Jurnal Umum'!$B$6:$B$2564,$H76-5))</f>
        <v/>
      </c>
      <c r="D76" s="99">
        <f t="array" ref="D76">IF($H76="","",IF(INDEX('Jurnal Umum'!$F$6:$F$2564,$H76-5)="",0,INDEX('Jurnal Umum'!$F$6:$F$2564,$H76-5)))</f>
        <v>0</v>
      </c>
      <c r="E76" s="99">
        <f t="array" ref="E76">IF($H76="","",IF(INDEX('Jurnal Umum'!$G$6:$G$2564,$H76-5)="",0,INDEX('Jurnal Umum'!$G$6:$G$2564,$H76-5)))</f>
        <v>750000</v>
      </c>
      <c r="F76" s="100">
        <f t="shared" si="1"/>
        <v>20171954</v>
      </c>
      <c r="G76" s="80"/>
      <c r="H76" s="101">
        <f>IFERROR(MATCH($B$5&amp;"-"&amp;68,'Jurnal Umum'!$J$6:$J$909,0)+5,"")</f>
        <v>293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96">
        <f t="array" ref="A77">IF($H77="","",INDEX('Jurnal Umum'!$A$6:$A$2564,$H77-5))</f>
        <v>46246</v>
      </c>
      <c r="B77" s="97" t="str">
        <f t="array" ref="B77">IF($H77="","",IFERROR(INDEX('Jurnal Umum'!$C$6:$C$2564,
 MATCH(1,
   ('Jurnal Umum'!$A$6:$A$2564=INDEX('Jurnal Umum'!$A$6:$A$2564,$H77-5)) *
   ('Jurnal Umum'!$C$6:$C$2564=INDEX('Jurnal Umum'!$C$6:$C$2564,$H77-5)) *
   ('Jurnal Umum'!$D$6:$D$2564&lt;&gt;$B$5)
 ,0)),""))</f>
        <v>Pengembalian talangan Ongkir DMK Cargo tgl 11</v>
      </c>
      <c r="C77" s="98" t="str">
        <f t="array" ref="C77">IF($H77="","",INDEX('Jurnal Umum'!$B$6:$B$2564,$H77-5))</f>
        <v/>
      </c>
      <c r="D77" s="99">
        <f t="array" ref="D77">IF($H77="","",IF(INDEX('Jurnal Umum'!$F$6:$F$2564,$H77-5)="",0,INDEX('Jurnal Umum'!$F$6:$F$2564,$H77-5)))</f>
        <v>1295496</v>
      </c>
      <c r="E77" s="99">
        <f t="array" ref="E77">IF($H77="","",IF(INDEX('Jurnal Umum'!$G$6:$G$2564,$H77-5)="",0,INDEX('Jurnal Umum'!$G$6:$G$2564,$H77-5)))</f>
        <v>0</v>
      </c>
      <c r="F77" s="100">
        <f t="shared" si="1"/>
        <v>21467450</v>
      </c>
      <c r="G77" s="80"/>
      <c r="H77" s="101">
        <f>IFERROR(MATCH($B$5&amp;"-"&amp;69,'Jurnal Umum'!$J$6:$J$909,0)+5,"")</f>
        <v>310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96">
        <f t="array" ref="A78">IF($H78="","",INDEX('Jurnal Umum'!$A$6:$A$2564,$H78-5))</f>
        <v>46246</v>
      </c>
      <c r="B78" s="97" t="str">
        <f t="array" ref="B78">IF($H78="","",IFERROR(INDEX('Jurnal Umum'!$C$6:$C$2564,
 MATCH(1,
   ('Jurnal Umum'!$A$6:$A$2564=INDEX('Jurnal Umum'!$A$6:$A$2564,$H78-5)) *
   ('Jurnal Umum'!$C$6:$C$2564=INDEX('Jurnal Umum'!$C$6:$C$2564,$H78-5)) *
   ('Jurnal Umum'!$D$6:$D$2564&lt;&gt;$B$5)
 ,0)),""))</f>
        <v>Pembayaran Penjualan tanggal 11</v>
      </c>
      <c r="C78" s="98" t="str">
        <f t="array" ref="C78">IF($H78="","",INDEX('Jurnal Umum'!$B$6:$B$2564,$H78-5))</f>
        <v/>
      </c>
      <c r="D78" s="99">
        <f t="array" ref="D78">IF($H78="","",IF(INDEX('Jurnal Umum'!$F$6:$F$2564,$H78-5)="",0,INDEX('Jurnal Umum'!$F$6:$F$2564,$H78-5)))</f>
        <v>1827000</v>
      </c>
      <c r="E78" s="99">
        <f t="array" ref="E78">IF($H78="","",IF(INDEX('Jurnal Umum'!$G$6:$G$2564,$H78-5)="",0,INDEX('Jurnal Umum'!$G$6:$G$2564,$H78-5)))</f>
        <v>0</v>
      </c>
      <c r="F78" s="100">
        <f t="shared" si="1"/>
        <v>23294450</v>
      </c>
      <c r="G78" s="80"/>
      <c r="H78" s="101">
        <f>IFERROR(MATCH($B$5&amp;"-"&amp;70,'Jurnal Umum'!$J$6:$J$909,0)+5,"")</f>
        <v>312</v>
      </c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96">
        <f t="array" ref="A79">IF($H79="","",INDEX('Jurnal Umum'!$A$6:$A$2564,$H79-5))</f>
        <v>46247</v>
      </c>
      <c r="B79" s="97" t="str">
        <f t="array" ref="B79">IF($H79="","",IFERROR(INDEX('Jurnal Umum'!$C$6:$C$2564,
 MATCH(1,
   ('Jurnal Umum'!$A$6:$A$2564=INDEX('Jurnal Umum'!$A$6:$A$2564,$H79-5)) *
   ('Jurnal Umum'!$C$6:$C$2564=INDEX('Jurnal Umum'!$C$6:$C$2564,$H79-5)) *
   ('Jurnal Umum'!$D$6:$D$2564&lt;&gt;$B$5)
 ,0)),""))</f>
        <v>Talangan Ongkir DMK Cargo tanggal 12</v>
      </c>
      <c r="C79" s="98" t="str">
        <f t="array" ref="C79">IF($H79="","",INDEX('Jurnal Umum'!$B$6:$B$2564,$H79-5))</f>
        <v/>
      </c>
      <c r="D79" s="99">
        <f t="array" ref="D79">IF($H79="","",IF(INDEX('Jurnal Umum'!$F$6:$F$2564,$H79-5)="",0,INDEX('Jurnal Umum'!$F$6:$F$2564,$H79-5)))</f>
        <v>0</v>
      </c>
      <c r="E79" s="99">
        <f t="array" ref="E79">IF($H79="","",IF(INDEX('Jurnal Umum'!$G$6:$G$2564,$H79-5)="",0,INDEX('Jurnal Umum'!$G$6:$G$2564,$H79-5)))</f>
        <v>1561995</v>
      </c>
      <c r="F79" s="100">
        <f t="shared" si="1"/>
        <v>21732455</v>
      </c>
      <c r="G79" s="80"/>
      <c r="H79" s="101">
        <f>IFERROR(MATCH($B$5&amp;"-"&amp;71,'Jurnal Umum'!$J$6:$J$909,0)+5,"")</f>
        <v>325</v>
      </c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96">
        <f t="array" ref="A80">IF($H80="","",INDEX('Jurnal Umum'!$A$6:$A$2564,$H80-5))</f>
        <v>46247</v>
      </c>
      <c r="B80" s="97" t="str">
        <f t="array" ref="B80">IF($H80="","",IFERROR(INDEX('Jurnal Umum'!$C$6:$C$2564,
 MATCH(1,
   ('Jurnal Umum'!$A$6:$A$2564=INDEX('Jurnal Umum'!$A$6:$A$2564,$H80-5)) *
   ('Jurnal Umum'!$C$6:$C$2564=INDEX('Jurnal Umum'!$C$6:$C$2564,$H80-5)) *
   ('Jurnal Umum'!$D$6:$D$2564&lt;&gt;$B$5)
 ,0)),""))</f>
        <v>Pembelian Bunga di Bu Nisa</v>
      </c>
      <c r="C80" s="98" t="str">
        <f t="array" ref="C80">IF($H80="","",INDEX('Jurnal Umum'!$B$6:$B$2564,$H80-5))</f>
        <v/>
      </c>
      <c r="D80" s="99">
        <f t="array" ref="D80">IF($H80="","",IF(INDEX('Jurnal Umum'!$F$6:$F$2564,$H80-5)="",0,INDEX('Jurnal Umum'!$F$6:$F$2564,$H80-5)))</f>
        <v>0</v>
      </c>
      <c r="E80" s="99">
        <f t="array" ref="E80">IF($H80="","",IF(INDEX('Jurnal Umum'!$G$6:$G$2564,$H80-5)="",0,INDEX('Jurnal Umum'!$G$6:$G$2564,$H80-5)))</f>
        <v>150000</v>
      </c>
      <c r="F80" s="100">
        <f t="shared" si="1"/>
        <v>21582455</v>
      </c>
      <c r="G80" s="80"/>
      <c r="H80" s="101">
        <f>IFERROR(MATCH($B$5&amp;"-"&amp;72,'Jurnal Umum'!$J$6:$J$909,0)+5,"")</f>
        <v>327</v>
      </c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96">
        <f t="array" ref="A81">IF($H81="","",INDEX('Jurnal Umum'!$A$6:$A$2564,$H81-5))</f>
        <v>46247</v>
      </c>
      <c r="B81" s="97" t="str">
        <f t="array" ref="B81">IF($H81="","",IFERROR(INDEX('Jurnal Umum'!$C$6:$C$2564,
 MATCH(1,
   ('Jurnal Umum'!$A$6:$A$2564=INDEX('Jurnal Umum'!$A$6:$A$2564,$H81-5)) *
   ('Jurnal Umum'!$C$6:$C$2564=INDEX('Jurnal Umum'!$C$6:$C$2564,$H81-5)) *
   ('Jurnal Umum'!$D$6:$D$2564&lt;&gt;$B$5)
 ,0)),""))</f>
        <v>Refund ke Sekar</v>
      </c>
      <c r="C81" s="98" t="str">
        <f t="array" ref="C81">IF($H81="","",INDEX('Jurnal Umum'!$B$6:$B$2564,$H81-5))</f>
        <v/>
      </c>
      <c r="D81" s="99">
        <f t="array" ref="D81">IF($H81="","",IF(INDEX('Jurnal Umum'!$F$6:$F$2564,$H81-5)="",0,INDEX('Jurnal Umum'!$F$6:$F$2564,$H81-5)))</f>
        <v>0</v>
      </c>
      <c r="E81" s="99">
        <f t="array" ref="E81">IF($H81="","",IF(INDEX('Jurnal Umum'!$G$6:$G$2564,$H81-5)="",0,INDEX('Jurnal Umum'!$G$6:$G$2564,$H81-5)))</f>
        <v>100000</v>
      </c>
      <c r="F81" s="100">
        <f t="shared" si="1"/>
        <v>21482455</v>
      </c>
      <c r="G81" s="80"/>
      <c r="H81" s="101">
        <f>IFERROR(MATCH($B$5&amp;"-"&amp;73,'Jurnal Umum'!$J$6:$J$909,0)+5,"")</f>
        <v>329</v>
      </c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96">
        <f t="array" ref="A82">IF($H82="","",INDEX('Jurnal Umum'!$A$6:$A$2564,$H82-5))</f>
        <v>46247</v>
      </c>
      <c r="B82" s="97" t="str">
        <f t="array" ref="B82">IF($H82="","",IFERROR(INDEX('Jurnal Umum'!$C$6:$C$2564,
 MATCH(1,
   ('Jurnal Umum'!$A$6:$A$2564=INDEX('Jurnal Umum'!$A$6:$A$2564,$H82-5)) *
   ('Jurnal Umum'!$C$6:$C$2564=INDEX('Jurnal Umum'!$C$6:$C$2564,$H82-5)) *
   ('Jurnal Umum'!$D$6:$D$2564&lt;&gt;$B$5)
 ,0)),""))</f>
        <v>Pembelian Bunga di WKF</v>
      </c>
      <c r="C82" s="98" t="str">
        <f t="array" ref="C82">IF($H82="","",INDEX('Jurnal Umum'!$B$6:$B$2564,$H82-5))</f>
        <v/>
      </c>
      <c r="D82" s="99">
        <f t="array" ref="D82">IF($H82="","",IF(INDEX('Jurnal Umum'!$F$6:$F$2564,$H82-5)="",0,INDEX('Jurnal Umum'!$F$6:$F$2564,$H82-5)))</f>
        <v>0</v>
      </c>
      <c r="E82" s="99">
        <f t="array" ref="E82">IF($H82="","",IF(INDEX('Jurnal Umum'!$G$6:$G$2564,$H82-5)="",0,INDEX('Jurnal Umum'!$G$6:$G$2564,$H82-5)))</f>
        <v>700000</v>
      </c>
      <c r="F82" s="100">
        <f t="shared" si="1"/>
        <v>20782455</v>
      </c>
      <c r="G82" s="80"/>
      <c r="H82" s="101">
        <f>IFERROR(MATCH($B$5&amp;"-"&amp;74,'Jurnal Umum'!$J$6:$J$909,0)+5,"")</f>
        <v>331</v>
      </c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96">
        <f t="array" ref="A83">IF($H83="","",INDEX('Jurnal Umum'!$A$6:$A$2564,$H83-5))</f>
        <v>46247</v>
      </c>
      <c r="B83" s="97" t="str">
        <f t="array" ref="B83">IF($H83="","",IFERROR(INDEX('Jurnal Umum'!$C$6:$C$2564,
 MATCH(1,
   ('Jurnal Umum'!$A$6:$A$2564=INDEX('Jurnal Umum'!$A$6:$A$2564,$H83-5)) *
   ('Jurnal Umum'!$C$6:$C$2564=INDEX('Jurnal Umum'!$C$6:$C$2564,$H83-5)) *
   ('Jurnal Umum'!$D$6:$D$2564&lt;&gt;$B$5)
 ,0)),""))</f>
        <v>Tarik Tunai untuk kas operasional</v>
      </c>
      <c r="C83" s="98" t="str">
        <f t="array" ref="C83">IF($H83="","",INDEX('Jurnal Umum'!$B$6:$B$2564,$H83-5))</f>
        <v/>
      </c>
      <c r="D83" s="99">
        <f t="array" ref="D83">IF($H83="","",IF(INDEX('Jurnal Umum'!$F$6:$F$2564,$H83-5)="",0,INDEX('Jurnal Umum'!$F$6:$F$2564,$H83-5)))</f>
        <v>0</v>
      </c>
      <c r="E83" s="99">
        <f t="array" ref="E83">IF($H83="","",IF(INDEX('Jurnal Umum'!$G$6:$G$2564,$H83-5)="",0,INDEX('Jurnal Umum'!$G$6:$G$2564,$H83-5)))</f>
        <v>2000000</v>
      </c>
      <c r="F83" s="100">
        <f t="shared" si="1"/>
        <v>18782455</v>
      </c>
      <c r="G83" s="80"/>
      <c r="H83" s="101">
        <f>IFERROR(MATCH($B$5&amp;"-"&amp;75,'Jurnal Umum'!$J$6:$J$909,0)+5,"")</f>
        <v>335</v>
      </c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96">
        <f t="array" ref="A84">IF($H84="","",INDEX('Jurnal Umum'!$A$6:$A$2564,$H84-5))</f>
        <v>46247</v>
      </c>
      <c r="B84" s="97" t="str">
        <f t="array" ref="B84">IF($H84="","",IFERROR(INDEX('Jurnal Umum'!$C$6:$C$2564,
 MATCH(1,
   ('Jurnal Umum'!$A$6:$A$2564=INDEX('Jurnal Umum'!$A$6:$A$2564,$H84-5)) *
   ('Jurnal Umum'!$C$6:$C$2564=INDEX('Jurnal Umum'!$C$6:$C$2564,$H84-5)) *
   ('Jurnal Umum'!$D$6:$D$2564&lt;&gt;$B$5)
 ,0)),""))</f>
        <v>Talangan Ongkir Mas Pradan - Ojek</v>
      </c>
      <c r="C84" s="98" t="str">
        <f t="array" ref="C84">IF($H84="","",INDEX('Jurnal Umum'!$B$6:$B$2564,$H84-5))</f>
        <v/>
      </c>
      <c r="D84" s="99">
        <f t="array" ref="D84">IF($H84="","",IF(INDEX('Jurnal Umum'!$F$6:$F$2564,$H84-5)="",0,INDEX('Jurnal Umum'!$F$6:$F$2564,$H84-5)))</f>
        <v>0</v>
      </c>
      <c r="E84" s="99">
        <f t="array" ref="E84">IF($H84="","",IF(INDEX('Jurnal Umum'!$G$6:$G$2564,$H84-5)="",0,INDEX('Jurnal Umum'!$G$6:$G$2564,$H84-5)))</f>
        <v>60000</v>
      </c>
      <c r="F84" s="100">
        <f t="shared" si="1"/>
        <v>18722455</v>
      </c>
      <c r="G84" s="80"/>
      <c r="H84" s="101">
        <f>IFERROR(MATCH($B$5&amp;"-"&amp;76,'Jurnal Umum'!$J$6:$J$909,0)+5,"")</f>
        <v>341</v>
      </c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96">
        <f t="array" ref="A85">IF($H85="","",INDEX('Jurnal Umum'!$A$6:$A$2564,$H85-5))</f>
        <v>46247</v>
      </c>
      <c r="B85" s="97" t="str">
        <f t="array" ref="B85">IF($H85="","",IFERROR(INDEX('Jurnal Umum'!$C$6:$C$2564,
 MATCH(1,
   ('Jurnal Umum'!$A$6:$A$2564=INDEX('Jurnal Umum'!$A$6:$A$2564,$H85-5)) *
   ('Jurnal Umum'!$C$6:$C$2564=INDEX('Jurnal Umum'!$C$6:$C$2564,$H85-5)) *
   ('Jurnal Umum'!$D$6:$D$2564&lt;&gt;$B$5)
 ,0)),""))</f>
        <v>Penjualan Bunga ke Vendor - Mba CIput</v>
      </c>
      <c r="C85" s="98" t="str">
        <f t="array" ref="C85">IF($H85="","",INDEX('Jurnal Umum'!$B$6:$B$2564,$H85-5))</f>
        <v>PV-011</v>
      </c>
      <c r="D85" s="99">
        <f t="array" ref="D85">IF($H85="","",IF(INDEX('Jurnal Umum'!$F$6:$F$2564,$H85-5)="",0,INDEX('Jurnal Umum'!$F$6:$F$2564,$H85-5)))</f>
        <v>50000</v>
      </c>
      <c r="E85" s="99">
        <f t="array" ref="E85">IF($H85="","",IF(INDEX('Jurnal Umum'!$G$6:$G$2564,$H85-5)="",0,INDEX('Jurnal Umum'!$G$6:$G$2564,$H85-5)))</f>
        <v>0</v>
      </c>
      <c r="F85" s="100">
        <f t="shared" si="1"/>
        <v>18772455</v>
      </c>
      <c r="G85" s="80"/>
      <c r="H85" s="101">
        <f>IFERROR(MATCH($B$5&amp;"-"&amp;77,'Jurnal Umum'!$J$6:$J$909,0)+5,"")</f>
        <v>350</v>
      </c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96">
        <f t="array" ref="A86">IF($H86="","",INDEX('Jurnal Umum'!$A$6:$A$2564,$H86-5))</f>
        <v>46247</v>
      </c>
      <c r="B86" s="97" t="str">
        <f t="array" ref="B86">IF($H86="","",IFERROR(INDEX('Jurnal Umum'!$C$6:$C$2564,
 MATCH(1,
   ('Jurnal Umum'!$A$6:$A$2564=INDEX('Jurnal Umum'!$A$6:$A$2564,$H86-5)) *
   ('Jurnal Umum'!$C$6:$C$2564=INDEX('Jurnal Umum'!$C$6:$C$2564,$H86-5)) *
   ('Jurnal Umum'!$D$6:$D$2564&lt;&gt;$B$5)
 ,0)),""))</f>
        <v>Pengembalian talangan Ongkir DMK Cargo tgl 12</v>
      </c>
      <c r="C86" s="98" t="str">
        <f t="array" ref="C86">IF($H86="","",INDEX('Jurnal Umum'!$B$6:$B$2564,$H86-5))</f>
        <v/>
      </c>
      <c r="D86" s="99">
        <f t="array" ref="D86">IF($H86="","",IF(INDEX('Jurnal Umum'!$F$6:$F$2564,$H86-5)="",0,INDEX('Jurnal Umum'!$F$6:$F$2564,$H86-5)))</f>
        <v>1561995</v>
      </c>
      <c r="E86" s="99">
        <f t="array" ref="E86">IF($H86="","",IF(INDEX('Jurnal Umum'!$G$6:$G$2564,$H86-5)="",0,INDEX('Jurnal Umum'!$G$6:$G$2564,$H86-5)))</f>
        <v>0</v>
      </c>
      <c r="F86" s="100">
        <f t="shared" si="1"/>
        <v>20334450</v>
      </c>
      <c r="G86" s="80"/>
      <c r="H86" s="101">
        <f>IFERROR(MATCH($B$5&amp;"-"&amp;78,'Jurnal Umum'!$J$6:$J$909,0)+5,"")</f>
        <v>352</v>
      </c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96">
        <f t="array" ref="A87">IF($H87="","",INDEX('Jurnal Umum'!$A$6:$A$2564,$H87-5))</f>
        <v>46247</v>
      </c>
      <c r="B87" s="97" t="str">
        <f t="array" ref="B87">IF($H87="","",IFERROR(INDEX('Jurnal Umum'!$C$6:$C$2564,
 MATCH(1,
   ('Jurnal Umum'!$A$6:$A$2564=INDEX('Jurnal Umum'!$A$6:$A$2564,$H87-5)) *
   ('Jurnal Umum'!$C$6:$C$2564=INDEX('Jurnal Umum'!$C$6:$C$2564,$H87-5)) *
   ('Jurnal Umum'!$D$6:$D$2564&lt;&gt;$B$5)
 ,0)),""))</f>
        <v>Pembayaran Penjualan tgl 12</v>
      </c>
      <c r="C87" s="98" t="str">
        <f t="array" ref="C87">IF($H87="","",INDEX('Jurnal Umum'!$B$6:$B$2564,$H87-5))</f>
        <v/>
      </c>
      <c r="D87" s="99">
        <f t="array" ref="D87">IF($H87="","",IF(INDEX('Jurnal Umum'!$F$6:$F$2564,$H87-5)="",0,INDEX('Jurnal Umum'!$F$6:$F$2564,$H87-5)))</f>
        <v>2222500</v>
      </c>
      <c r="E87" s="99">
        <f t="array" ref="E87">IF($H87="","",IF(INDEX('Jurnal Umum'!$G$6:$G$2564,$H87-5)="",0,INDEX('Jurnal Umum'!$G$6:$G$2564,$H87-5)))</f>
        <v>0</v>
      </c>
      <c r="F87" s="100">
        <f t="shared" si="1"/>
        <v>22556950</v>
      </c>
      <c r="G87" s="80"/>
      <c r="H87" s="101">
        <f>IFERROR(MATCH($B$5&amp;"-"&amp;79,'Jurnal Umum'!$J$6:$J$909,0)+5,"")</f>
        <v>354</v>
      </c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96">
        <f t="array" ref="A88">IF($H88="","",INDEX('Jurnal Umum'!$A$6:$A$2564,$H88-5))</f>
        <v>46248</v>
      </c>
      <c r="B88" s="97" t="str">
        <f t="array" ref="B88">IF($H88="","",IFERROR(INDEX('Jurnal Umum'!$C$6:$C$2564,
 MATCH(1,
   ('Jurnal Umum'!$A$6:$A$2564=INDEX('Jurnal Umum'!$A$6:$A$2564,$H88-5)) *
   ('Jurnal Umum'!$C$6:$C$2564=INDEX('Jurnal Umum'!$C$6:$C$2564,$H88-5)) *
   ('Jurnal Umum'!$D$6:$D$2564&lt;&gt;$B$5)
 ,0)),""))</f>
        <v>Pembelian Bunga di Freesia</v>
      </c>
      <c r="C88" s="98" t="str">
        <f t="array" ref="C88">IF($H88="","",INDEX('Jurnal Umum'!$B$6:$B$2564,$H88-5))</f>
        <v>BK-260814-001</v>
      </c>
      <c r="D88" s="99">
        <f t="array" ref="D88">IF($H88="","",IF(INDEX('Jurnal Umum'!$F$6:$F$2564,$H88-5)="",0,INDEX('Jurnal Umum'!$F$6:$F$2564,$H88-5)))</f>
        <v>0</v>
      </c>
      <c r="E88" s="99">
        <f t="array" ref="E88">IF($H88="","",IF(INDEX('Jurnal Umum'!$G$6:$G$2564,$H88-5)="",0,INDEX('Jurnal Umum'!$G$6:$G$2564,$H88-5)))</f>
        <v>440000</v>
      </c>
      <c r="F88" s="100">
        <f t="shared" si="1"/>
        <v>22116950</v>
      </c>
      <c r="G88" s="80"/>
      <c r="H88" s="101">
        <f>IFERROR(MATCH($B$5&amp;"-"&amp;80,'Jurnal Umum'!$J$6:$J$909,0)+5,"")</f>
        <v>359</v>
      </c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96">
        <f t="array" ref="A89">IF($H89="","",INDEX('Jurnal Umum'!$A$6:$A$2564,$H89-5))</f>
        <v>46248</v>
      </c>
      <c r="B89" s="97" t="str">
        <f t="array" ref="B89">IF($H89="","",IFERROR(INDEX('Jurnal Umum'!$C$6:$C$2564,
 MATCH(1,
   ('Jurnal Umum'!$A$6:$A$2564=INDEX('Jurnal Umum'!$A$6:$A$2564,$H89-5)) *
   ('Jurnal Umum'!$C$6:$C$2564=INDEX('Jurnal Umum'!$C$6:$C$2564,$H89-5)) *
   ('Jurnal Umum'!$D$6:$D$2564&lt;&gt;$B$5)
 ,0)),""))</f>
        <v>Pembayaran penjualan tanggal 13</v>
      </c>
      <c r="C89" s="98" t="str">
        <f t="array" ref="C89">IF($H89="","",INDEX('Jurnal Umum'!$B$6:$B$2564,$H89-5))</f>
        <v/>
      </c>
      <c r="D89" s="99">
        <f t="array" ref="D89">IF($H89="","",IF(INDEX('Jurnal Umum'!$F$6:$F$2564,$H89-5)="",0,INDEX('Jurnal Umum'!$F$6:$F$2564,$H89-5)))</f>
        <v>550000</v>
      </c>
      <c r="E89" s="99">
        <f t="array" ref="E89">IF($H89="","",IF(INDEX('Jurnal Umum'!$G$6:$G$2564,$H89-5)="",0,INDEX('Jurnal Umum'!$G$6:$G$2564,$H89-5)))</f>
        <v>0</v>
      </c>
      <c r="F89" s="100">
        <f t="shared" si="1"/>
        <v>22666950</v>
      </c>
      <c r="G89" s="80"/>
      <c r="H89" s="101">
        <f>IFERROR(MATCH($B$5&amp;"-"&amp;81,'Jurnal Umum'!$J$6:$J$909,0)+5,"")</f>
        <v>386</v>
      </c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96">
        <f t="array" ref="A90">IF($H90="","",INDEX('Jurnal Umum'!$A$6:$A$2564,$H90-5))</f>
        <v>46248</v>
      </c>
      <c r="B90" s="97" t="str">
        <f t="array" ref="B90">IF($H90="","",IFERROR(INDEX('Jurnal Umum'!$C$6:$C$2564,
 MATCH(1,
   ('Jurnal Umum'!$A$6:$A$2564=INDEX('Jurnal Umum'!$A$6:$A$2564,$H90-5)) *
   ('Jurnal Umum'!$C$6:$C$2564=INDEX('Jurnal Umum'!$C$6:$C$2564,$H90-5)) *
   ('Jurnal Umum'!$D$6:$D$2564&lt;&gt;$B$5)
 ,0)),""))</f>
        <v>Pengembalian talangan ongkir tanggal 13</v>
      </c>
      <c r="C90" s="98" t="str">
        <f t="array" ref="C90">IF($H90="","",INDEX('Jurnal Umum'!$B$6:$B$2564,$H90-5))</f>
        <v/>
      </c>
      <c r="D90" s="99">
        <f t="array" ref="D90">IF($H90="","",IF(INDEX('Jurnal Umum'!$F$6:$F$2564,$H90-5)="",0,INDEX('Jurnal Umum'!$F$6:$F$2564,$H90-5)))</f>
        <v>130000</v>
      </c>
      <c r="E90" s="99">
        <f t="array" ref="E90">IF($H90="","",IF(INDEX('Jurnal Umum'!$G$6:$G$2564,$H90-5)="",0,INDEX('Jurnal Umum'!$G$6:$G$2564,$H90-5)))</f>
        <v>0</v>
      </c>
      <c r="F90" s="100">
        <f t="shared" si="1"/>
        <v>22796950</v>
      </c>
      <c r="G90" s="80"/>
      <c r="H90" s="101">
        <f>IFERROR(MATCH($B$5&amp;"-"&amp;82,'Jurnal Umum'!$J$6:$J$909,0)+5,"")</f>
        <v>388</v>
      </c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96">
        <f t="array" ref="A91">IF($H91="","",INDEX('Jurnal Umum'!$A$6:$A$2564,$H91-5))</f>
        <v>46249</v>
      </c>
      <c r="B91" s="97" t="str">
        <f t="array" ref="B91">IF($H91="","",IFERROR(INDEX('Jurnal Umum'!$C$6:$C$2564,
 MATCH(1,
   ('Jurnal Umum'!$A$6:$A$2564=INDEX('Jurnal Umum'!$A$6:$A$2564,$H91-5)) *
   ('Jurnal Umum'!$C$6:$C$2564=INDEX('Jurnal Umum'!$C$6:$C$2564,$H91-5)) *
   ('Jurnal Umum'!$D$6:$D$2564&lt;&gt;$B$5)
 ,0)),""))</f>
        <v>Talangan ongkir DMK Cargo tanggal 14</v>
      </c>
      <c r="C91" s="98" t="str">
        <f t="array" ref="C91">IF($H91="","",INDEX('Jurnal Umum'!$B$6:$B$2564,$H91-5))</f>
        <v/>
      </c>
      <c r="D91" s="99">
        <f t="array" ref="D91">IF($H91="","",IF(INDEX('Jurnal Umum'!$F$6:$F$2564,$H91-5)="",0,INDEX('Jurnal Umum'!$F$6:$F$2564,$H91-5)))</f>
        <v>0</v>
      </c>
      <c r="E91" s="99">
        <f t="array" ref="E91">IF($H91="","",IF(INDEX('Jurnal Umum'!$G$6:$G$2564,$H91-5)="",0,INDEX('Jurnal Umum'!$G$6:$G$2564,$H91-5)))</f>
        <v>4323659</v>
      </c>
      <c r="F91" s="100">
        <f t="shared" si="1"/>
        <v>18473291</v>
      </c>
      <c r="G91" s="80"/>
      <c r="H91" s="101">
        <f>IFERROR(MATCH($B$5&amp;"-"&amp;83,'Jurnal Umum'!$J$6:$J$909,0)+5,"")</f>
        <v>391</v>
      </c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96">
        <f t="array" ref="A92">IF($H92="","",INDEX('Jurnal Umum'!$A$6:$A$2564,$H92-5))</f>
        <v>46249</v>
      </c>
      <c r="B92" s="97" t="str">
        <f t="array" ref="B92">IF($H92="","",IFERROR(INDEX('Jurnal Umum'!$C$6:$C$2564,
 MATCH(1,
   ('Jurnal Umum'!$A$6:$A$2564=INDEX('Jurnal Umum'!$A$6:$A$2564,$H92-5)) *
   ('Jurnal Umum'!$C$6:$C$2564=INDEX('Jurnal Umum'!$C$6:$C$2564,$H92-5)) *
   ('Jurnal Umum'!$D$6:$D$2564&lt;&gt;$B$5)
 ,0)),""))</f>
        <v>Pengembalian talangan ongkir DMK Cargo tgl 14</v>
      </c>
      <c r="C92" s="98" t="str">
        <f t="array" ref="C92">IF($H92="","",INDEX('Jurnal Umum'!$B$6:$B$2564,$H92-5))</f>
        <v/>
      </c>
      <c r="D92" s="99">
        <f t="array" ref="D92">IF($H92="","",IF(INDEX('Jurnal Umum'!$F$6:$F$2564,$H92-5)="",0,INDEX('Jurnal Umum'!$F$6:$F$2564,$H92-5)))</f>
        <v>4323659</v>
      </c>
      <c r="E92" s="99">
        <f t="array" ref="E92">IF($H92="","",IF(INDEX('Jurnal Umum'!$G$6:$G$2564,$H92-5)="",0,INDEX('Jurnal Umum'!$G$6:$G$2564,$H92-5)))</f>
        <v>0</v>
      </c>
      <c r="F92" s="100">
        <f t="shared" si="1"/>
        <v>22796950</v>
      </c>
      <c r="G92" s="80"/>
      <c r="H92" s="101">
        <f>IFERROR(MATCH($B$5&amp;"-"&amp;84,'Jurnal Umum'!$J$6:$J$909,0)+5,"")</f>
        <v>392</v>
      </c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96">
        <f t="array" ref="A93">IF($H93="","",INDEX('Jurnal Umum'!$A$6:$A$2564,$H93-5))</f>
        <v>46249</v>
      </c>
      <c r="B93" s="97" t="str">
        <f t="array" ref="B93">IF($H93="","",IFERROR(INDEX('Jurnal Umum'!$C$6:$C$2564,
 MATCH(1,
   ('Jurnal Umum'!$A$6:$A$2564=INDEX('Jurnal Umum'!$A$6:$A$2564,$H93-5)) *
   ('Jurnal Umum'!$C$6:$C$2564=INDEX('Jurnal Umum'!$C$6:$C$2564,$H93-5)) *
   ('Jurnal Umum'!$D$6:$D$2564&lt;&gt;$B$5)
 ,0)),""))</f>
        <v>Pembayaran penjualan tanggal 14</v>
      </c>
      <c r="C93" s="98" t="str">
        <f t="array" ref="C93">IF($H93="","",INDEX('Jurnal Umum'!$B$6:$B$2564,$H93-5))</f>
        <v/>
      </c>
      <c r="D93" s="99">
        <f t="array" ref="D93">IF($H93="","",IF(INDEX('Jurnal Umum'!$F$6:$F$2564,$H93-5)="",0,INDEX('Jurnal Umum'!$F$6:$F$2564,$H93-5)))</f>
        <v>5813000</v>
      </c>
      <c r="E93" s="99">
        <f t="array" ref="E93">IF($H93="","",IF(INDEX('Jurnal Umum'!$G$6:$G$2564,$H93-5)="",0,INDEX('Jurnal Umum'!$G$6:$G$2564,$H93-5)))</f>
        <v>0</v>
      </c>
      <c r="F93" s="100">
        <f t="shared" si="1"/>
        <v>28609950</v>
      </c>
      <c r="G93" s="80"/>
      <c r="H93" s="101">
        <f>IFERROR(MATCH($B$5&amp;"-"&amp;85,'Jurnal Umum'!$J$6:$J$909,0)+5,"")</f>
        <v>394</v>
      </c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96">
        <f t="array" ref="A94">IF($H94="","",INDEX('Jurnal Umum'!$A$6:$A$2564,$H94-5))</f>
        <v>46251</v>
      </c>
      <c r="B94" s="97" t="str">
        <f t="array" ref="B94">IF($H94="","",IFERROR(INDEX('Jurnal Umum'!$C$6:$C$2564,
 MATCH(1,
   ('Jurnal Umum'!$A$6:$A$2564=INDEX('Jurnal Umum'!$A$6:$A$2564,$H94-5)) *
   ('Jurnal Umum'!$C$6:$C$2564=INDEX('Jurnal Umum'!$C$6:$C$2564,$H94-5)) *
   ('Jurnal Umum'!$D$6:$D$2564&lt;&gt;$B$5)
 ,0)),""))</f>
        <v>Tarik Tunai untuk kas operasional</v>
      </c>
      <c r="C94" s="98" t="str">
        <f t="array" ref="C94">IF($H94="","",INDEX('Jurnal Umum'!$B$6:$B$2564,$H94-5))</f>
        <v/>
      </c>
      <c r="D94" s="99">
        <f t="array" ref="D94">IF($H94="","",IF(INDEX('Jurnal Umum'!$F$6:$F$2564,$H94-5)="",0,INDEX('Jurnal Umum'!$F$6:$F$2564,$H94-5)))</f>
        <v>0</v>
      </c>
      <c r="E94" s="99">
        <f t="array" ref="E94">IF($H94="","",IF(INDEX('Jurnal Umum'!$G$6:$G$2564,$H94-5)="",0,INDEX('Jurnal Umum'!$G$6:$G$2564,$H94-5)))</f>
        <v>189000</v>
      </c>
      <c r="F94" s="100">
        <f t="shared" si="1"/>
        <v>28420950</v>
      </c>
      <c r="G94" s="80"/>
      <c r="H94" s="101">
        <f>IFERROR(MATCH($B$5&amp;"-"&amp;86,'Jurnal Umum'!$J$6:$J$909,0)+5,"")</f>
        <v>399</v>
      </c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96">
        <f t="array" ref="A95">IF($H95="","",INDEX('Jurnal Umum'!$A$6:$A$2564,$H95-5))</f>
        <v>46251</v>
      </c>
      <c r="B95" s="97" t="str">
        <f t="array" ref="B95">IF($H95="","",IFERROR(INDEX('Jurnal Umum'!$C$6:$C$2564,
 MATCH(1,
   ('Jurnal Umum'!$A$6:$A$2564=INDEX('Jurnal Umum'!$A$6:$A$2564,$H95-5)) *
   ('Jurnal Umum'!$C$6:$C$2564=INDEX('Jurnal Umum'!$C$6:$C$2564,$H95-5)) *
   ('Jurnal Umum'!$D$6:$D$2564&lt;&gt;$B$5)
 ,0)),""))</f>
        <v>Pembelian bunga di vendor - Mba Ciput</v>
      </c>
      <c r="C95" s="98" t="str">
        <f t="array" ref="C95">IF($H95="","",INDEX('Jurnal Umum'!$B$6:$B$2564,$H95-5))</f>
        <v/>
      </c>
      <c r="D95" s="99">
        <f t="array" ref="D95">IF($H95="","",IF(INDEX('Jurnal Umum'!$F$6:$F$2564,$H95-5)="",0,INDEX('Jurnal Umum'!$F$6:$F$2564,$H95-5)))</f>
        <v>0</v>
      </c>
      <c r="E95" s="99">
        <f t="array" ref="E95">IF($H95="","",IF(INDEX('Jurnal Umum'!$G$6:$G$2564,$H95-5)="",0,INDEX('Jurnal Umum'!$G$6:$G$2564,$H95-5)))</f>
        <v>226000</v>
      </c>
      <c r="F95" s="100">
        <f t="shared" si="1"/>
        <v>28194950</v>
      </c>
      <c r="G95" s="80"/>
      <c r="H95" s="101">
        <f>IFERROR(MATCH($B$5&amp;"-"&amp;87,'Jurnal Umum'!$J$6:$J$909,0)+5,"")</f>
        <v>411</v>
      </c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96">
        <f t="array" ref="A96">IF($H96="","",INDEX('Jurnal Umum'!$A$6:$A$2564,$H96-5))</f>
        <v>46251</v>
      </c>
      <c r="B96" s="97" t="str">
        <f t="array" ref="B96">IF($H96="","",IFERROR(INDEX('Jurnal Umum'!$C$6:$C$2564,
 MATCH(1,
   ('Jurnal Umum'!$A$6:$A$2564=INDEX('Jurnal Umum'!$A$6:$A$2564,$H96-5)) *
   ('Jurnal Umum'!$C$6:$C$2564=INDEX('Jurnal Umum'!$C$6:$C$2564,$H96-5)) *
   ('Jurnal Umum'!$D$6:$D$2564&lt;&gt;$B$5)
 ,0)),""))</f>
        <v>Pembelian Bunga di Bunga Bromo - Pembayaran tgl 10</v>
      </c>
      <c r="C96" s="98" t="str">
        <f t="array" ref="C96">IF($H96="","",INDEX('Jurnal Umum'!$B$6:$B$2564,$H96-5))</f>
        <v/>
      </c>
      <c r="D96" s="99">
        <f t="array" ref="D96">IF($H96="","",IF(INDEX('Jurnal Umum'!$F$6:$F$2564,$H96-5)="",0,INDEX('Jurnal Umum'!$F$6:$F$2564,$H96-5)))</f>
        <v>0</v>
      </c>
      <c r="E96" s="99">
        <f t="array" ref="E96">IF($H96="","",IF(INDEX('Jurnal Umum'!$G$6:$G$2564,$H96-5)="",0,INDEX('Jurnal Umum'!$G$6:$G$2564,$H96-5)))</f>
        <v>1290000</v>
      </c>
      <c r="F96" s="100">
        <f t="shared" si="1"/>
        <v>26904950</v>
      </c>
      <c r="G96" s="80"/>
      <c r="H96" s="101">
        <f>IFERROR(MATCH($B$5&amp;"-"&amp;88,'Jurnal Umum'!$J$6:$J$909,0)+5,"")</f>
        <v>413</v>
      </c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96">
        <f t="array" ref="A97">IF($H97="","",INDEX('Jurnal Umum'!$A$6:$A$2564,$H97-5))</f>
        <v>46251</v>
      </c>
      <c r="B97" s="97" t="str">
        <f t="array" ref="B97">IF($H97="","",IFERROR(INDEX('Jurnal Umum'!$C$6:$C$2564,
 MATCH(1,
   ('Jurnal Umum'!$A$6:$A$2564=INDEX('Jurnal Umum'!$A$6:$A$2564,$H97-5)) *
   ('Jurnal Umum'!$C$6:$C$2564=INDEX('Jurnal Umum'!$C$6:$C$2564,$H97-5)) *
   ('Jurnal Umum'!$D$6:$D$2564&lt;&gt;$B$5)
 ,0)),""))</f>
        <v>Pembelian Bunga di Vendor - Mba Yeti</v>
      </c>
      <c r="C97" s="98" t="str">
        <f t="array" ref="C97">IF($H97="","",INDEX('Jurnal Umum'!$B$6:$B$2564,$H97-5))</f>
        <v/>
      </c>
      <c r="D97" s="99">
        <f t="array" ref="D97">IF($H97="","",IF(INDEX('Jurnal Umum'!$F$6:$F$2564,$H97-5)="",0,INDEX('Jurnal Umum'!$F$6:$F$2564,$H97-5)))</f>
        <v>0</v>
      </c>
      <c r="E97" s="99">
        <f t="array" ref="E97">IF($H97="","",IF(INDEX('Jurnal Umum'!$G$6:$G$2564,$H97-5)="",0,INDEX('Jurnal Umum'!$G$6:$G$2564,$H97-5)))</f>
        <v>791000</v>
      </c>
      <c r="F97" s="100">
        <f t="shared" si="1"/>
        <v>26113950</v>
      </c>
      <c r="G97" s="80"/>
      <c r="H97" s="101">
        <f>IFERROR(MATCH($B$5&amp;"-"&amp;89,'Jurnal Umum'!$J$6:$J$909,0)+5,"")</f>
        <v>415</v>
      </c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96">
        <f t="array" ref="A98">IF($H98="","",INDEX('Jurnal Umum'!$A$6:$A$2564,$H98-5))</f>
        <v>46251</v>
      </c>
      <c r="B98" s="97" t="str">
        <f t="array" ref="B98">IF($H98="","",IFERROR(INDEX('Jurnal Umum'!$C$6:$C$2564,
 MATCH(1,
   ('Jurnal Umum'!$A$6:$A$2564=INDEX('Jurnal Umum'!$A$6:$A$2564,$H98-5)) *
   ('Jurnal Umum'!$C$6:$C$2564=INDEX('Jurnal Umum'!$C$6:$C$2564,$H98-5)) *
   ('Jurnal Umum'!$D$6:$D$2564&lt;&gt;$B$5)
 ,0)),""))</f>
        <v>Pembayaran Gaji Mas Sandi</v>
      </c>
      <c r="C98" s="98" t="str">
        <f t="array" ref="C98">IF($H98="","",INDEX('Jurnal Umum'!$B$6:$B$2564,$H98-5))</f>
        <v/>
      </c>
      <c r="D98" s="99">
        <f t="array" ref="D98">IF($H98="","",IF(INDEX('Jurnal Umum'!$F$6:$F$2564,$H98-5)="",0,INDEX('Jurnal Umum'!$F$6:$F$2564,$H98-5)))</f>
        <v>0</v>
      </c>
      <c r="E98" s="99">
        <f t="array" ref="E98">IF($H98="","",IF(INDEX('Jurnal Umum'!$G$6:$G$2564,$H98-5)="",0,INDEX('Jurnal Umum'!$G$6:$G$2564,$H98-5)))</f>
        <v>500000</v>
      </c>
      <c r="F98" s="100">
        <f t="shared" si="1"/>
        <v>25613950</v>
      </c>
      <c r="G98" s="80"/>
      <c r="H98" s="101">
        <f>IFERROR(MATCH($B$5&amp;"-"&amp;90,'Jurnal Umum'!$J$6:$J$909,0)+5,"")</f>
        <v>417</v>
      </c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96">
        <f t="array" ref="A99">IF($H99="","",INDEX('Jurnal Umum'!$A$6:$A$2564,$H99-5))</f>
        <v>46252</v>
      </c>
      <c r="B99" s="97" t="str">
        <f t="array" ref="B99">IF($H99="","",IFERROR(INDEX('Jurnal Umum'!$C$6:$C$2564,
 MATCH(1,
   ('Jurnal Umum'!$A$6:$A$2564=INDEX('Jurnal Umum'!$A$6:$A$2564,$H99-5)) *
   ('Jurnal Umum'!$C$6:$C$2564=INDEX('Jurnal Umum'!$C$6:$C$2564,$H99-5)) *
   ('Jurnal Umum'!$D$6:$D$2564&lt;&gt;$B$5)
 ,0)),""))</f>
        <v>Tarik Tunai untuk kas operasional</v>
      </c>
      <c r="C99" s="98" t="str">
        <f t="array" ref="C99">IF($H99="","",INDEX('Jurnal Umum'!$B$6:$B$2564,$H99-5))</f>
        <v/>
      </c>
      <c r="D99" s="99">
        <f t="array" ref="D99">IF($H99="","",IF(INDEX('Jurnal Umum'!$F$6:$F$2564,$H99-5)="",0,INDEX('Jurnal Umum'!$F$6:$F$2564,$H99-5)))</f>
        <v>0</v>
      </c>
      <c r="E99" s="99">
        <f t="array" ref="E99">IF($H99="","",IF(INDEX('Jurnal Umum'!$G$6:$G$2564,$H99-5)="",0,INDEX('Jurnal Umum'!$G$6:$G$2564,$H99-5)))</f>
        <v>500000</v>
      </c>
      <c r="F99" s="100">
        <f t="shared" si="1"/>
        <v>25113950</v>
      </c>
      <c r="G99" s="80"/>
      <c r="H99" s="101">
        <f>IFERROR(MATCH($B$5&amp;"-"&amp;91,'Jurnal Umum'!$J$6:$J$909,0)+5,"")</f>
        <v>423</v>
      </c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96">
        <f t="array" ref="A100">IF($H100="","",INDEX('Jurnal Umum'!$A$6:$A$2564,$H100-5))</f>
        <v>46252</v>
      </c>
      <c r="B100" s="97" t="str">
        <f t="array" ref="B100">IF($H100="","",IFERROR(INDEX('Jurnal Umum'!$C$6:$C$2564,
 MATCH(1,
   ('Jurnal Umum'!$A$6:$A$2564=INDEX('Jurnal Umum'!$A$6:$A$2564,$H100-5)) *
   ('Jurnal Umum'!$C$6:$C$2564=INDEX('Jurnal Umum'!$C$6:$C$2564,$H100-5)) *
   ('Jurnal Umum'!$D$6:$D$2564&lt;&gt;$B$5)
 ,0)),""))</f>
        <v>Pembelian Bunga di WKF</v>
      </c>
      <c r="C100" s="98" t="str">
        <f t="array" ref="C100">IF($H100="","",INDEX('Jurnal Umum'!$B$6:$B$2564,$H100-5))</f>
        <v>BK-260818-001</v>
      </c>
      <c r="D100" s="99">
        <f t="array" ref="D100">IF($H100="","",IF(INDEX('Jurnal Umum'!$F$6:$F$2564,$H100-5)="",0,INDEX('Jurnal Umum'!$F$6:$F$2564,$H100-5)))</f>
        <v>0</v>
      </c>
      <c r="E100" s="99">
        <f t="array" ref="E100">IF($H100="","",IF(INDEX('Jurnal Umum'!$G$6:$G$2564,$H100-5)="",0,INDEX('Jurnal Umum'!$G$6:$G$2564,$H100-5)))</f>
        <v>165000</v>
      </c>
      <c r="F100" s="100">
        <f t="shared" si="1"/>
        <v>24948950</v>
      </c>
      <c r="G100" s="80"/>
      <c r="H100" s="101">
        <f>IFERROR(MATCH($B$5&amp;"-"&amp;92,'Jurnal Umum'!$J$6:$J$909,0)+5,"")</f>
        <v>437</v>
      </c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96">
        <f t="array" ref="A101">IF($H101="","",INDEX('Jurnal Umum'!$A$6:$A$2564,$H101-5))</f>
        <v>46252</v>
      </c>
      <c r="B101" s="97" t="str">
        <f t="array" ref="B101">IF($H101="","",IFERROR(INDEX('Jurnal Umum'!$C$6:$C$2564,
 MATCH(1,
   ('Jurnal Umum'!$A$6:$A$2564=INDEX('Jurnal Umum'!$A$6:$A$2564,$H101-5)) *
   ('Jurnal Umum'!$C$6:$C$2564=INDEX('Jurnal Umum'!$C$6:$C$2564,$H101-5)) *
   ('Jurnal Umum'!$D$6:$D$2564&lt;&gt;$B$5)
 ,0)),""))</f>
        <v>Tambahan talangan ongkir DMK Cargo tgl 17</v>
      </c>
      <c r="C101" s="98" t="str">
        <f t="array" ref="C101">IF($H101="","",INDEX('Jurnal Umum'!$B$6:$B$2564,$H101-5))</f>
        <v/>
      </c>
      <c r="D101" s="99">
        <f t="array" ref="D101">IF($H101="","",IF(INDEX('Jurnal Umum'!$F$6:$F$2564,$H101-5)="",0,INDEX('Jurnal Umum'!$F$6:$F$2564,$H101-5)))</f>
        <v>0</v>
      </c>
      <c r="E101" s="99">
        <f t="array" ref="E101">IF($H101="","",IF(INDEX('Jurnal Umum'!$G$6:$G$2564,$H101-5)="",0,INDEX('Jurnal Umum'!$G$6:$G$2564,$H101-5)))</f>
        <v>596490</v>
      </c>
      <c r="F101" s="100">
        <f t="shared" si="1"/>
        <v>24352460</v>
      </c>
      <c r="G101" s="80"/>
      <c r="H101" s="101">
        <f>IFERROR(MATCH($B$5&amp;"-"&amp;93,'Jurnal Umum'!$J$6:$J$909,0)+5,"")</f>
        <v>445</v>
      </c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96">
        <f t="array" ref="A102">IF($H102="","",INDEX('Jurnal Umum'!$A$6:$A$2564,$H102-5))</f>
        <v>46252</v>
      </c>
      <c r="B102" s="97" t="str">
        <f t="array" ref="B102">IF($H102="","",IFERROR(INDEX('Jurnal Umum'!$C$6:$C$2564,
 MATCH(1,
   ('Jurnal Umum'!$A$6:$A$2564=INDEX('Jurnal Umum'!$A$6:$A$2564,$H102-5)) *
   ('Jurnal Umum'!$C$6:$C$2564=INDEX('Jurnal Umum'!$C$6:$C$2564,$H102-5)) *
   ('Jurnal Umum'!$D$6:$D$2564&lt;&gt;$B$5)
 ,0)),""))</f>
        <v>Pembelian Bunga di Vendor - Mba Yeti</v>
      </c>
      <c r="C102" s="98" t="str">
        <f t="array" ref="C102">IF($H102="","",INDEX('Jurnal Umum'!$B$6:$B$2564,$H102-5))</f>
        <v/>
      </c>
      <c r="D102" s="99">
        <f t="array" ref="D102">IF($H102="","",IF(INDEX('Jurnal Umum'!$F$6:$F$2564,$H102-5)="",0,INDEX('Jurnal Umum'!$F$6:$F$2564,$H102-5)))</f>
        <v>0</v>
      </c>
      <c r="E102" s="99">
        <f t="array" ref="E102">IF($H102="","",IF(INDEX('Jurnal Umum'!$G$6:$G$2564,$H102-5)="",0,INDEX('Jurnal Umum'!$G$6:$G$2564,$H102-5)))</f>
        <v>105000</v>
      </c>
      <c r="F102" s="100">
        <f t="shared" si="1"/>
        <v>24247460</v>
      </c>
      <c r="G102" s="80"/>
      <c r="H102" s="101">
        <f>IFERROR(MATCH($B$5&amp;"-"&amp;94,'Jurnal Umum'!$J$6:$J$909,0)+5,"")</f>
        <v>447</v>
      </c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96">
        <f t="array" ref="A103">IF($H103="","",INDEX('Jurnal Umum'!$A$6:$A$2564,$H103-5))</f>
        <v>46252</v>
      </c>
      <c r="B103" s="97" t="str">
        <f t="array" ref="B103">IF($H103="","",IFERROR(INDEX('Jurnal Umum'!$C$6:$C$2564,
 MATCH(1,
   ('Jurnal Umum'!$A$6:$A$2564=INDEX('Jurnal Umum'!$A$6:$A$2564,$H103-5)) *
   ('Jurnal Umum'!$C$6:$C$2564=INDEX('Jurnal Umum'!$C$6:$C$2564,$H103-5)) *
   ('Jurnal Umum'!$D$6:$D$2564&lt;&gt;$B$5)
 ,0)),""))</f>
        <v>Pembelian Bunga di Vendor - Om Toha</v>
      </c>
      <c r="C103" s="98" t="str">
        <f t="array" ref="C103">IF($H103="","",INDEX('Jurnal Umum'!$B$6:$B$2564,$H103-5))</f>
        <v/>
      </c>
      <c r="D103" s="99">
        <f t="array" ref="D103">IF($H103="","",IF(INDEX('Jurnal Umum'!$F$6:$F$2564,$H103-5)="",0,INDEX('Jurnal Umum'!$F$6:$F$2564,$H103-5)))</f>
        <v>0</v>
      </c>
      <c r="E103" s="99">
        <f t="array" ref="E103">IF($H103="","",IF(INDEX('Jurnal Umum'!$G$6:$G$2564,$H103-5)="",0,INDEX('Jurnal Umum'!$G$6:$G$2564,$H103-5)))</f>
        <v>65000</v>
      </c>
      <c r="F103" s="100">
        <f t="shared" si="1"/>
        <v>24182460</v>
      </c>
      <c r="G103" s="80"/>
      <c r="H103" s="101">
        <f>IFERROR(MATCH($B$5&amp;"-"&amp;95,'Jurnal Umum'!$J$6:$J$909,0)+5,"")</f>
        <v>449</v>
      </c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96">
        <f t="array" ref="A104">IF($H104="","",INDEX('Jurnal Umum'!$A$6:$A$2564,$H104-5))</f>
        <v>46252</v>
      </c>
      <c r="B104" s="97" t="str">
        <f t="array" ref="B104">IF($H104="","",IFERROR(INDEX('Jurnal Umum'!$C$6:$C$2564,
 MATCH(1,
   ('Jurnal Umum'!$A$6:$A$2564=INDEX('Jurnal Umum'!$A$6:$A$2564,$H104-5)) *
   ('Jurnal Umum'!$C$6:$C$2564=INDEX('Jurnal Umum'!$C$6:$C$2564,$H104-5)) *
   ('Jurnal Umum'!$D$6:$D$2564&lt;&gt;$B$5)
 ,0)),""))</f>
        <v>Pembayaran Penjualan tanggal 17</v>
      </c>
      <c r="C104" s="98" t="str">
        <f t="array" ref="C104">IF($H104="","",INDEX('Jurnal Umum'!$B$6:$B$2564,$H104-5))</f>
        <v/>
      </c>
      <c r="D104" s="99">
        <f t="array" ref="D104">IF($H104="","",IF(INDEX('Jurnal Umum'!$F$6:$F$2564,$H104-5)="",0,INDEX('Jurnal Umum'!$F$6:$F$2564,$H104-5)))</f>
        <v>700000</v>
      </c>
      <c r="E104" s="99">
        <f t="array" ref="E104">IF($H104="","",IF(INDEX('Jurnal Umum'!$G$6:$G$2564,$H104-5)="",0,INDEX('Jurnal Umum'!$G$6:$G$2564,$H104-5)))</f>
        <v>0</v>
      </c>
      <c r="F104" s="100">
        <f t="shared" si="1"/>
        <v>24882460</v>
      </c>
      <c r="G104" s="80"/>
      <c r="H104" s="101">
        <f>IFERROR(MATCH($B$5&amp;"-"&amp;96,'Jurnal Umum'!$J$6:$J$909,0)+5,"")</f>
        <v>458</v>
      </c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96">
        <f t="array" ref="A105">IF($H105="","",INDEX('Jurnal Umum'!$A$6:$A$2564,$H105-5))</f>
        <v>46252</v>
      </c>
      <c r="B105" s="97" t="str">
        <f t="array" ref="B105">IF($H105="","",IFERROR(INDEX('Jurnal Umum'!$C$6:$C$2564,
 MATCH(1,
   ('Jurnal Umum'!$A$6:$A$2564=INDEX('Jurnal Umum'!$A$6:$A$2564,$H105-5)) *
   ('Jurnal Umum'!$C$6:$C$2564=INDEX('Jurnal Umum'!$C$6:$C$2564,$H105-5)) *
   ('Jurnal Umum'!$D$6:$D$2564&lt;&gt;$B$5)
 ,0)),""))</f>
        <v>Pengembalian talangan ongkir DMK Cargo tgl 17</v>
      </c>
      <c r="C105" s="98" t="str">
        <f t="array" ref="C105">IF($H105="","",INDEX('Jurnal Umum'!$B$6:$B$2564,$H105-5))</f>
        <v/>
      </c>
      <c r="D105" s="99">
        <f t="array" ref="D105">IF($H105="","",IF(INDEX('Jurnal Umum'!$F$6:$F$2564,$H105-5)="",0,INDEX('Jurnal Umum'!$F$6:$F$2564,$H105-5)))</f>
        <v>1066490</v>
      </c>
      <c r="E105" s="99">
        <f t="array" ref="E105">IF($H105="","",IF(INDEX('Jurnal Umum'!$G$6:$G$2564,$H105-5)="",0,INDEX('Jurnal Umum'!$G$6:$G$2564,$H105-5)))</f>
        <v>0</v>
      </c>
      <c r="F105" s="100">
        <f t="shared" si="1"/>
        <v>25948950</v>
      </c>
      <c r="G105" s="80"/>
      <c r="H105" s="101">
        <f>IFERROR(MATCH($B$5&amp;"-"&amp;97,'Jurnal Umum'!$J$6:$J$909,0)+5,"")</f>
        <v>460</v>
      </c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96">
        <f t="array" ref="A106">IF($H106="","",INDEX('Jurnal Umum'!$A$6:$A$2564,$H106-5))</f>
        <v>46253</v>
      </c>
      <c r="B106" s="97" t="str">
        <f t="array" ref="B106">IF($H106="","",IFERROR(INDEX('Jurnal Umum'!$C$6:$C$2564,
 MATCH(1,
   ('Jurnal Umum'!$A$6:$A$2564=INDEX('Jurnal Umum'!$A$6:$A$2564,$H106-5)) *
   ('Jurnal Umum'!$C$6:$C$2564=INDEX('Jurnal Umum'!$C$6:$C$2564,$H106-5)) *
   ('Jurnal Umum'!$D$6:$D$2564&lt;&gt;$B$5)
 ,0)),""))</f>
        <v>Tarik Tunai untuk kas operasional</v>
      </c>
      <c r="C106" s="98" t="str">
        <f t="array" ref="C106">IF($H106="","",INDEX('Jurnal Umum'!$B$6:$B$2564,$H106-5))</f>
        <v/>
      </c>
      <c r="D106" s="99">
        <f t="array" ref="D106">IF($H106="","",IF(INDEX('Jurnal Umum'!$F$6:$F$2564,$H106-5)="",0,INDEX('Jurnal Umum'!$F$6:$F$2564,$H106-5)))</f>
        <v>0</v>
      </c>
      <c r="E106" s="99">
        <f t="array" ref="E106">IF($H106="","",IF(INDEX('Jurnal Umum'!$G$6:$G$2564,$H106-5)="",0,INDEX('Jurnal Umum'!$G$6:$G$2564,$H106-5)))</f>
        <v>1000000</v>
      </c>
      <c r="F106" s="100">
        <f t="shared" si="1"/>
        <v>24948950</v>
      </c>
      <c r="G106" s="80"/>
      <c r="H106" s="101">
        <f>IFERROR(MATCH($B$5&amp;"-"&amp;98,'Jurnal Umum'!$J$6:$J$909,0)+5,"")</f>
        <v>463</v>
      </c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96">
        <f t="array" ref="A107">IF($H107="","",INDEX('Jurnal Umum'!$A$6:$A$2564,$H107-5))</f>
        <v>46253</v>
      </c>
      <c r="B107" s="97" t="str">
        <f t="array" ref="B107">IF($H107="","",IFERROR(INDEX('Jurnal Umum'!$C$6:$C$2564,
 MATCH(1,
   ('Jurnal Umum'!$A$6:$A$2564=INDEX('Jurnal Umum'!$A$6:$A$2564,$H107-5)) *
   ('Jurnal Umum'!$C$6:$C$2564=INDEX('Jurnal Umum'!$C$6:$C$2564,$H107-5)) *
   ('Jurnal Umum'!$D$6:$D$2564&lt;&gt;$B$5)
 ,0)),""))</f>
        <v>Talangan Ongkir DMK Cargo tanggal 18</v>
      </c>
      <c r="C107" s="98" t="str">
        <f t="array" ref="C107">IF($H107="","",INDEX('Jurnal Umum'!$B$6:$B$2564,$H107-5))</f>
        <v/>
      </c>
      <c r="D107" s="99">
        <f t="array" ref="D107">IF($H107="","",IF(INDEX('Jurnal Umum'!$F$6:$F$2564,$H107-5)="",0,INDEX('Jurnal Umum'!$F$6:$F$2564,$H107-5)))</f>
        <v>0</v>
      </c>
      <c r="E107" s="99">
        <f t="array" ref="E107">IF($H107="","",IF(INDEX('Jurnal Umum'!$G$6:$G$2564,$H107-5)="",0,INDEX('Jurnal Umum'!$G$6:$G$2564,$H107-5)))</f>
        <v>1859000</v>
      </c>
      <c r="F107" s="100">
        <f t="shared" si="1"/>
        <v>23089950</v>
      </c>
      <c r="G107" s="80"/>
      <c r="H107" s="101">
        <f>IFERROR(MATCH($B$5&amp;"-"&amp;99,'Jurnal Umum'!$J$6:$J$909,0)+5,"")</f>
        <v>469</v>
      </c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96">
        <f t="array" ref="A108">IF($H108="","",INDEX('Jurnal Umum'!$A$6:$A$2564,$H108-5))</f>
        <v>46253</v>
      </c>
      <c r="B108" s="97" t="str">
        <f t="array" ref="B108">IF($H108="","",IFERROR(INDEX('Jurnal Umum'!$C$6:$C$2564,
 MATCH(1,
   ('Jurnal Umum'!$A$6:$A$2564=INDEX('Jurnal Umum'!$A$6:$A$2564,$H108-5)) *
   ('Jurnal Umum'!$C$6:$C$2564=INDEX('Jurnal Umum'!$C$6:$C$2564,$H108-5)) *
   ('Jurnal Umum'!$D$6:$D$2564&lt;&gt;$B$5)
 ,0)),""))</f>
        <v>Pembayaran penjualan tanggal 18</v>
      </c>
      <c r="C108" s="98" t="str">
        <f t="array" ref="C108">IF($H108="","",INDEX('Jurnal Umum'!$B$6:$B$2564,$H108-5))</f>
        <v/>
      </c>
      <c r="D108" s="99">
        <f t="array" ref="D108">IF($H108="","",IF(INDEX('Jurnal Umum'!$F$6:$F$2564,$H108-5)="",0,INDEX('Jurnal Umum'!$F$6:$F$2564,$H108-5)))</f>
        <v>2563500</v>
      </c>
      <c r="E108" s="99">
        <f t="array" ref="E108">IF($H108="","",IF(INDEX('Jurnal Umum'!$G$6:$G$2564,$H108-5)="",0,INDEX('Jurnal Umum'!$G$6:$G$2564,$H108-5)))</f>
        <v>0</v>
      </c>
      <c r="F108" s="100">
        <f t="shared" si="1"/>
        <v>25653450</v>
      </c>
      <c r="G108" s="80"/>
      <c r="H108" s="101">
        <f>IFERROR(MATCH($B$5&amp;"-"&amp;100,'Jurnal Umum'!$J$6:$J$909,0)+5,"")</f>
        <v>470</v>
      </c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96">
        <f t="array" ref="A109">IF($H109="","",INDEX('Jurnal Umum'!$A$6:$A$2564,$H109-5))</f>
        <v>46253</v>
      </c>
      <c r="B109" s="97" t="str">
        <f t="array" ref="B109">IF($H109="","",IFERROR(INDEX('Jurnal Umum'!$C$6:$C$2564,
 MATCH(1,
   ('Jurnal Umum'!$A$6:$A$2564=INDEX('Jurnal Umum'!$A$6:$A$2564,$H109-5)) *
   ('Jurnal Umum'!$C$6:$C$2564=INDEX('Jurnal Umum'!$C$6:$C$2564,$H109-5)) *
   ('Jurnal Umum'!$D$6:$D$2564&lt;&gt;$B$5)
 ,0)),""))</f>
        <v>Pengembalian talangan ongkir DMK Cargo tgl 18</v>
      </c>
      <c r="C109" s="98" t="str">
        <f t="array" ref="C109">IF($H109="","",INDEX('Jurnal Umum'!$B$6:$B$2564,$H109-5))</f>
        <v/>
      </c>
      <c r="D109" s="99">
        <f t="array" ref="D109">IF($H109="","",IF(INDEX('Jurnal Umum'!$F$6:$F$2564,$H109-5)="",0,INDEX('Jurnal Umum'!$F$6:$F$2564,$H109-5)))</f>
        <v>1859000</v>
      </c>
      <c r="E109" s="99">
        <f t="array" ref="E109">IF($H109="","",IF(INDEX('Jurnal Umum'!$G$6:$G$2564,$H109-5)="",0,INDEX('Jurnal Umum'!$G$6:$G$2564,$H109-5)))</f>
        <v>0</v>
      </c>
      <c r="F109" s="100">
        <f t="shared" si="1"/>
        <v>27512450</v>
      </c>
      <c r="G109" s="80"/>
      <c r="H109" s="101">
        <f>IFERROR(MATCH($B$5&amp;"-"&amp;101,'Jurnal Umum'!$J$6:$J$909,0)+5,"")</f>
        <v>472</v>
      </c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96">
        <f t="array" ref="A110">IF($H110="","",INDEX('Jurnal Umum'!$A$6:$A$2564,$H110-5))</f>
        <v>46254</v>
      </c>
      <c r="B110" s="97" t="str">
        <f t="array" ref="B110">IF($H110="","",IFERROR(INDEX('Jurnal Umum'!$C$6:$C$2564,
 MATCH(1,
   ('Jurnal Umum'!$A$6:$A$2564=INDEX('Jurnal Umum'!$A$6:$A$2564,$H110-5)) *
   ('Jurnal Umum'!$C$6:$C$2564=INDEX('Jurnal Umum'!$C$6:$C$2564,$H110-5)) *
   ('Jurnal Umum'!$D$6:$D$2564&lt;&gt;$B$5)
 ,0)),""))</f>
        <v>Pendapatan bunga bank dari Greenhouse</v>
      </c>
      <c r="C110" s="98" t="str">
        <f t="array" ref="C110">IF($H110="","",INDEX('Jurnal Umum'!$B$6:$B$2564,$H110-5))</f>
        <v/>
      </c>
      <c r="D110" s="99">
        <f t="array" ref="D110">IF($H110="","",IF(INDEX('Jurnal Umum'!$F$6:$F$2564,$H110-5)="",0,INDEX('Jurnal Umum'!$F$6:$F$2564,$H110-5)))</f>
        <v>363000</v>
      </c>
      <c r="E110" s="99">
        <f t="array" ref="E110">IF($H110="","",IF(INDEX('Jurnal Umum'!$G$6:$G$2564,$H110-5)="",0,INDEX('Jurnal Umum'!$G$6:$G$2564,$H110-5)))</f>
        <v>0</v>
      </c>
      <c r="F110" s="100">
        <f t="shared" si="1"/>
        <v>27875450</v>
      </c>
      <c r="G110" s="80"/>
      <c r="H110" s="101">
        <f>IFERROR(MATCH($B$5&amp;"-"&amp;102,'Jurnal Umum'!$J$6:$J$909,0)+5,"")</f>
        <v>486</v>
      </c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96">
        <f t="array" ref="A111">IF($H111="","",INDEX('Jurnal Umum'!$A$6:$A$2564,$H111-5))</f>
        <v>46254</v>
      </c>
      <c r="B111" s="97" t="str">
        <f t="array" ref="B111">IF($H111="","",IFERROR(INDEX('Jurnal Umum'!$C$6:$C$2564,
 MATCH(1,
   ('Jurnal Umum'!$A$6:$A$2564=INDEX('Jurnal Umum'!$A$6:$A$2564,$H111-5)) *
   ('Jurnal Umum'!$C$6:$C$2564=INDEX('Jurnal Umum'!$C$6:$C$2564,$H111-5)) *
   ('Jurnal Umum'!$D$6:$D$2564&lt;&gt;$B$5)
 ,0)),""))</f>
        <v>Pembelian bunga di Vendor - Bu Jum, Hortensia</v>
      </c>
      <c r="C111" s="98" t="str">
        <f t="array" ref="C111">IF($H111="","",INDEX('Jurnal Umum'!$B$6:$B$2564,$H111-5))</f>
        <v/>
      </c>
      <c r="D111" s="99">
        <f t="array" ref="D111">IF($H111="","",IF(INDEX('Jurnal Umum'!$F$6:$F$2564,$H111-5)="",0,INDEX('Jurnal Umum'!$F$6:$F$2564,$H111-5)))</f>
        <v>0</v>
      </c>
      <c r="E111" s="99">
        <f t="array" ref="E111">IF($H111="","",IF(INDEX('Jurnal Umum'!$G$6:$G$2564,$H111-5)="",0,INDEX('Jurnal Umum'!$G$6:$G$2564,$H111-5)))</f>
        <v>500000</v>
      </c>
      <c r="F111" s="100">
        <f t="shared" si="1"/>
        <v>27375450</v>
      </c>
      <c r="G111" s="80"/>
      <c r="H111" s="101">
        <f>IFERROR(MATCH($B$5&amp;"-"&amp;103,'Jurnal Umum'!$J$6:$J$909,0)+5,"")</f>
        <v>491</v>
      </c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96">
        <f t="array" ref="A112">IF($H112="","",INDEX('Jurnal Umum'!$A$6:$A$2564,$H112-5))</f>
        <v>46254</v>
      </c>
      <c r="B112" s="97" t="str">
        <f t="array" ref="B112">IF($H112="","",IFERROR(INDEX('Jurnal Umum'!$C$6:$C$2564,
 MATCH(1,
   ('Jurnal Umum'!$A$6:$A$2564=INDEX('Jurnal Umum'!$A$6:$A$2564,$H112-5)) *
   ('Jurnal Umum'!$C$6:$C$2564=INDEX('Jurnal Umum'!$C$6:$C$2564,$H112-5)) *
   ('Jurnal Umum'!$D$6:$D$2564&lt;&gt;$B$5)
 ,0)),""))</f>
        <v>Abumen Aster - bibit</v>
      </c>
      <c r="C112" s="98" t="str">
        <f t="array" ref="C112">IF($H112="","",INDEX('Jurnal Umum'!$B$6:$B$2564,$H112-5))</f>
        <v/>
      </c>
      <c r="D112" s="99">
        <f t="array" ref="D112">IF($H112="","",IF(INDEX('Jurnal Umum'!$F$6:$F$2564,$H112-5)="",0,INDEX('Jurnal Umum'!$F$6:$F$2564,$H112-5)))</f>
        <v>0</v>
      </c>
      <c r="E112" s="99">
        <f t="array" ref="E112">IF($H112="","",IF(INDEX('Jurnal Umum'!$G$6:$G$2564,$H112-5)="",0,INDEX('Jurnal Umum'!$G$6:$G$2564,$H112-5)))</f>
        <v>5000000</v>
      </c>
      <c r="F112" s="100">
        <f t="shared" si="1"/>
        <v>22375450</v>
      </c>
      <c r="G112" s="80"/>
      <c r="H112" s="101">
        <f>IFERROR(MATCH($B$5&amp;"-"&amp;104,'Jurnal Umum'!$J$6:$J$909,0)+5,"")</f>
        <v>511</v>
      </c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96">
        <f t="array" ref="A113">IF($H113="","",INDEX('Jurnal Umum'!$A$6:$A$2564,$H113-5))</f>
        <v>46255</v>
      </c>
      <c r="B113" s="97" t="str">
        <f t="array" ref="B113">IF($H113="","",IFERROR(INDEX('Jurnal Umum'!$C$6:$C$2564,
 MATCH(1,
   ('Jurnal Umum'!$A$6:$A$2564=INDEX('Jurnal Umum'!$A$6:$A$2564,$H113-5)) *
   ('Jurnal Umum'!$C$6:$C$2564=INDEX('Jurnal Umum'!$C$6:$C$2564,$H113-5)) *
   ('Jurnal Umum'!$D$6:$D$2564&lt;&gt;$B$5)
 ,0)),""))</f>
        <v>Talangan ongkir DMK Cargo tanggal 20</v>
      </c>
      <c r="C113" s="98" t="str">
        <f t="array" ref="C113">IF($H113="","",INDEX('Jurnal Umum'!$B$6:$B$2564,$H113-5))</f>
        <v/>
      </c>
      <c r="D113" s="99">
        <f t="array" ref="D113">IF($H113="","",IF(INDEX('Jurnal Umum'!$F$6:$F$2564,$H113-5)="",0,INDEX('Jurnal Umum'!$F$6:$F$2564,$H113-5)))</f>
        <v>0</v>
      </c>
      <c r="E113" s="99">
        <f t="array" ref="E113">IF($H113="","",IF(INDEX('Jurnal Umum'!$G$6:$G$2564,$H113-5)="",0,INDEX('Jurnal Umum'!$G$6:$G$2564,$H113-5)))</f>
        <v>2469040</v>
      </c>
      <c r="F113" s="100">
        <f t="shared" si="1"/>
        <v>19906410</v>
      </c>
      <c r="G113" s="80"/>
      <c r="H113" s="101">
        <f>IFERROR(MATCH($B$5&amp;"-"&amp;105,'Jurnal Umum'!$J$6:$J$909,0)+5,"")</f>
        <v>513</v>
      </c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96">
        <f t="array" ref="A114">IF($H114="","",INDEX('Jurnal Umum'!$A$6:$A$2564,$H114-5))</f>
        <v>46255</v>
      </c>
      <c r="B114" s="97" t="str">
        <f t="array" ref="B114">IF($H114="","",IFERROR(INDEX('Jurnal Umum'!$C$6:$C$2564,
 MATCH(1,
   ('Jurnal Umum'!$A$6:$A$2564=INDEX('Jurnal Umum'!$A$6:$A$2564,$H114-5)) *
   ('Jurnal Umum'!$C$6:$C$2564=INDEX('Jurnal Umum'!$C$6:$C$2564,$H114-5)) *
   ('Jurnal Umum'!$D$6:$D$2564&lt;&gt;$B$5)
 ,0)),""))</f>
        <v>Tarik Tunai untuk kas operasional</v>
      </c>
      <c r="C114" s="98" t="str">
        <f t="array" ref="C114">IF($H114="","",INDEX('Jurnal Umum'!$B$6:$B$2564,$H114-5))</f>
        <v/>
      </c>
      <c r="D114" s="99">
        <f t="array" ref="D114">IF($H114="","",IF(INDEX('Jurnal Umum'!$F$6:$F$2564,$H114-5)="",0,INDEX('Jurnal Umum'!$F$6:$F$2564,$H114-5)))</f>
        <v>0</v>
      </c>
      <c r="E114" s="99">
        <f t="array" ref="E114">IF($H114="","",IF(INDEX('Jurnal Umum'!$G$6:$G$2564,$H114-5)="",0,INDEX('Jurnal Umum'!$G$6:$G$2564,$H114-5)))</f>
        <v>1000000</v>
      </c>
      <c r="F114" s="100">
        <f t="shared" si="1"/>
        <v>18906410</v>
      </c>
      <c r="G114" s="80"/>
      <c r="H114" s="101">
        <f>IFERROR(MATCH($B$5&amp;"-"&amp;106,'Jurnal Umum'!$J$6:$J$909,0)+5,"")</f>
        <v>523</v>
      </c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96">
        <f t="array" ref="A115">IF($H115="","",INDEX('Jurnal Umum'!$A$6:$A$2564,$H115-5))</f>
        <v>46255</v>
      </c>
      <c r="B115" s="97" t="str">
        <f t="array" ref="B115">IF($H115="","",IFERROR(INDEX('Jurnal Umum'!$C$6:$C$2564,
 MATCH(1,
   ('Jurnal Umum'!$A$6:$A$2564=INDEX('Jurnal Umum'!$A$6:$A$2564,$H115-5)) *
   ('Jurnal Umum'!$C$6:$C$2564=INDEX('Jurnal Umum'!$C$6:$C$2564,$H115-5)) *
   ('Jurnal Umum'!$D$6:$D$2564&lt;&gt;$B$5)
 ,0)),""))</f>
        <v>Pindah Bank - setor tunai</v>
      </c>
      <c r="C115" s="98" t="str">
        <f t="array" ref="C115">IF($H115="","",INDEX('Jurnal Umum'!$B$6:$B$2564,$H115-5))</f>
        <v/>
      </c>
      <c r="D115" s="99">
        <f t="array" ref="D115">IF($H115="","",IF(INDEX('Jurnal Umum'!$F$6:$F$2564,$H115-5)="",0,INDEX('Jurnal Umum'!$F$6:$F$2564,$H115-5)))</f>
        <v>107000</v>
      </c>
      <c r="E115" s="99">
        <f t="array" ref="E115">IF($H115="","",IF(INDEX('Jurnal Umum'!$G$6:$G$2564,$H115-5)="",0,INDEX('Jurnal Umum'!$G$6:$G$2564,$H115-5)))</f>
        <v>0</v>
      </c>
      <c r="F115" s="100">
        <f t="shared" si="1"/>
        <v>19013410</v>
      </c>
      <c r="G115" s="80"/>
      <c r="H115" s="101">
        <f>IFERROR(MATCH($B$5&amp;"-"&amp;107,'Jurnal Umum'!$J$6:$J$909,0)+5,"")</f>
        <v>528</v>
      </c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96">
        <f t="array" ref="A116">IF($H116="","",INDEX('Jurnal Umum'!$A$6:$A$2564,$H116-5))</f>
        <v>46255</v>
      </c>
      <c r="B116" s="97" t="str">
        <f t="array" ref="B116">IF($H116="","",IFERROR(INDEX('Jurnal Umum'!$C$6:$C$2564,
 MATCH(1,
   ('Jurnal Umum'!$A$6:$A$2564=INDEX('Jurnal Umum'!$A$6:$A$2564,$H116-5)) *
   ('Jurnal Umum'!$C$6:$C$2564=INDEX('Jurnal Umum'!$C$6:$C$2564,$H116-5)) *
   ('Jurnal Umum'!$D$6:$D$2564&lt;&gt;$B$5)
 ,0)),""))</f>
        <v>Pembelian Bunga di Freesia</v>
      </c>
      <c r="C116" s="98" t="str">
        <f t="array" ref="C116">IF($H116="","",INDEX('Jurnal Umum'!$B$6:$B$2564,$H116-5))</f>
        <v/>
      </c>
      <c r="D116" s="99">
        <f t="array" ref="D116">IF($H116="","",IF(INDEX('Jurnal Umum'!$F$6:$F$2564,$H116-5)="",0,INDEX('Jurnal Umum'!$F$6:$F$2564,$H116-5)))</f>
        <v>0</v>
      </c>
      <c r="E116" s="99">
        <f t="array" ref="E116">IF($H116="","",IF(INDEX('Jurnal Umum'!$G$6:$G$2564,$H116-5)="",0,INDEX('Jurnal Umum'!$G$6:$G$2564,$H116-5)))</f>
        <v>340000</v>
      </c>
      <c r="F116" s="100">
        <f t="shared" si="1"/>
        <v>18673410</v>
      </c>
      <c r="G116" s="80"/>
      <c r="H116" s="101">
        <f>IFERROR(MATCH($B$5&amp;"-"&amp;108,'Jurnal Umum'!$J$6:$J$909,0)+5,"")</f>
        <v>537</v>
      </c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96">
        <f t="array" ref="A117">IF($H117="","",INDEX('Jurnal Umum'!$A$6:$A$2564,$H117-5))</f>
        <v>46255</v>
      </c>
      <c r="B117" s="97" t="str">
        <f t="array" ref="B117">IF($H117="","",IFERROR(INDEX('Jurnal Umum'!$C$6:$C$2564,
 MATCH(1,
   ('Jurnal Umum'!$A$6:$A$2564=INDEX('Jurnal Umum'!$A$6:$A$2564,$H117-5)) *
   ('Jurnal Umum'!$C$6:$C$2564=INDEX('Jurnal Umum'!$C$6:$C$2564,$H117-5)) *
   ('Jurnal Umum'!$D$6:$D$2564&lt;&gt;$B$5)
 ,0)),""))</f>
        <v>Pembayaran Ojek - Mas Pradan - Ambil Bunga</v>
      </c>
      <c r="C117" s="98" t="str">
        <f t="array" ref="C117">IF($H117="","",INDEX('Jurnal Umum'!$B$6:$B$2564,$H117-5))</f>
        <v/>
      </c>
      <c r="D117" s="99">
        <f t="array" ref="D117">IF($H117="","",IF(INDEX('Jurnal Umum'!$F$6:$F$2564,$H117-5)="",0,INDEX('Jurnal Umum'!$F$6:$F$2564,$H117-5)))</f>
        <v>0</v>
      </c>
      <c r="E117" s="99">
        <f t="array" ref="E117">IF($H117="","",IF(INDEX('Jurnal Umum'!$G$6:$G$2564,$H117-5)="",0,INDEX('Jurnal Umum'!$G$6:$G$2564,$H117-5)))</f>
        <v>50000</v>
      </c>
      <c r="F117" s="100">
        <f t="shared" si="1"/>
        <v>18623410</v>
      </c>
      <c r="G117" s="80"/>
      <c r="H117" s="101">
        <f>IFERROR(MATCH($B$5&amp;"-"&amp;109,'Jurnal Umum'!$J$6:$J$909,0)+5,"")</f>
        <v>539</v>
      </c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96">
        <f t="array" ref="A118">IF($H118="","",INDEX('Jurnal Umum'!$A$6:$A$2564,$H118-5))</f>
        <v>46255</v>
      </c>
      <c r="B118" s="97" t="str">
        <f t="array" ref="B118">IF($H118="","",IFERROR(INDEX('Jurnal Umum'!$C$6:$C$2564,
 MATCH(1,
   ('Jurnal Umum'!$A$6:$A$2564=INDEX('Jurnal Umum'!$A$6:$A$2564,$H118-5)) *
   ('Jurnal Umum'!$C$6:$C$2564=INDEX('Jurnal Umum'!$C$6:$C$2564,$H118-5)) *
   ('Jurnal Umum'!$D$6:$D$2564&lt;&gt;$B$5)
 ,0)),""))</f>
        <v>Refund ke Tiara</v>
      </c>
      <c r="C118" s="98" t="str">
        <f t="array" ref="C118">IF($H118="","",INDEX('Jurnal Umum'!$B$6:$B$2564,$H118-5))</f>
        <v/>
      </c>
      <c r="D118" s="99">
        <f t="array" ref="D118">IF($H118="","",IF(INDEX('Jurnal Umum'!$F$6:$F$2564,$H118-5)="",0,INDEX('Jurnal Umum'!$F$6:$F$2564,$H118-5)))</f>
        <v>0</v>
      </c>
      <c r="E118" s="99">
        <f t="array" ref="E118">IF($H118="","",IF(INDEX('Jurnal Umum'!$G$6:$G$2564,$H118-5)="",0,INDEX('Jurnal Umum'!$G$6:$G$2564,$H118-5)))</f>
        <v>75000</v>
      </c>
      <c r="F118" s="100">
        <f t="shared" si="1"/>
        <v>18548410</v>
      </c>
      <c r="G118" s="80"/>
      <c r="H118" s="101">
        <f>IFERROR(MATCH($B$5&amp;"-"&amp;110,'Jurnal Umum'!$J$6:$J$909,0)+5,"")</f>
        <v>541</v>
      </c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96">
        <f t="array" ref="A119">IF($H119="","",INDEX('Jurnal Umum'!$A$6:$A$2564,$H119-5))</f>
        <v>46255</v>
      </c>
      <c r="B119" s="97" t="str">
        <f t="array" ref="B119">IF($H119="","",IFERROR(INDEX('Jurnal Umum'!$C$6:$C$2564,
 MATCH(1,
   ('Jurnal Umum'!$A$6:$A$2564=INDEX('Jurnal Umum'!$A$6:$A$2564,$H119-5)) *
   ('Jurnal Umum'!$C$6:$C$2564=INDEX('Jurnal Umum'!$C$6:$C$2564,$H119-5)) *
   ('Jurnal Umum'!$D$6:$D$2564&lt;&gt;$B$5)
 ,0)),""))</f>
        <v>Pengembalian talangan ongkir DMK dan travel tgl 20</v>
      </c>
      <c r="C119" s="98" t="str">
        <f t="array" ref="C119">IF($H119="","",INDEX('Jurnal Umum'!$B$6:$B$2564,$H119-5))</f>
        <v/>
      </c>
      <c r="D119" s="99">
        <f t="array" ref="D119">IF($H119="","",IF(INDEX('Jurnal Umum'!$F$6:$F$2564,$H119-5)="",0,INDEX('Jurnal Umum'!$F$6:$F$2564,$H119-5)))</f>
        <v>2569040</v>
      </c>
      <c r="E119" s="99">
        <f t="array" ref="E119">IF($H119="","",IF(INDEX('Jurnal Umum'!$G$6:$G$2564,$H119-5)="",0,INDEX('Jurnal Umum'!$G$6:$G$2564,$H119-5)))</f>
        <v>0</v>
      </c>
      <c r="F119" s="100">
        <f t="shared" si="1"/>
        <v>21117450</v>
      </c>
      <c r="G119" s="80"/>
      <c r="H119" s="101">
        <f>IFERROR(MATCH($B$5&amp;"-"&amp;111,'Jurnal Umum'!$J$6:$J$909,0)+5,"")</f>
        <v>550</v>
      </c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96">
        <f t="array" ref="A120">IF($H120="","",INDEX('Jurnal Umum'!$A$6:$A$2564,$H120-5))</f>
        <v>46255</v>
      </c>
      <c r="B120" s="97" t="str">
        <f t="array" ref="B120">IF($H120="","",IFERROR(INDEX('Jurnal Umum'!$C$6:$C$2564,
 MATCH(1,
   ('Jurnal Umum'!$A$6:$A$2564=INDEX('Jurnal Umum'!$A$6:$A$2564,$H120-5)) *
   ('Jurnal Umum'!$C$6:$C$2564=INDEX('Jurnal Umum'!$C$6:$C$2564,$H120-5)) *
   ('Jurnal Umum'!$D$6:$D$2564&lt;&gt;$B$5)
 ,0)),""))</f>
        <v>Pembayaran penjualan tanggal 20</v>
      </c>
      <c r="C120" s="98" t="str">
        <f t="array" ref="C120">IF($H120="","",INDEX('Jurnal Umum'!$B$6:$B$2564,$H120-5))</f>
        <v/>
      </c>
      <c r="D120" s="99">
        <f t="array" ref="D120">IF($H120="","",IF(INDEX('Jurnal Umum'!$F$6:$F$2564,$H120-5)="",0,INDEX('Jurnal Umum'!$F$6:$F$2564,$H120-5)))</f>
        <v>3917500</v>
      </c>
      <c r="E120" s="99">
        <f t="array" ref="E120">IF($H120="","",IF(INDEX('Jurnal Umum'!$G$6:$G$2564,$H120-5)="",0,INDEX('Jurnal Umum'!$G$6:$G$2564,$H120-5)))</f>
        <v>0</v>
      </c>
      <c r="F120" s="100">
        <f t="shared" si="1"/>
        <v>25034950</v>
      </c>
      <c r="G120" s="80"/>
      <c r="H120" s="101">
        <f>IFERROR(MATCH($B$5&amp;"-"&amp;112,'Jurnal Umum'!$J$6:$J$909,0)+5,"")</f>
        <v>552</v>
      </c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96">
        <f t="array" ref="A121">IF($H121="","",INDEX('Jurnal Umum'!$A$6:$A$2564,$H121-5))</f>
        <v>46256</v>
      </c>
      <c r="B121" s="97" t="str">
        <f t="array" ref="B121">IF($H121="","",IFERROR(INDEX('Jurnal Umum'!$C$6:$C$2564,
 MATCH(1,
   ('Jurnal Umum'!$A$6:$A$2564=INDEX('Jurnal Umum'!$A$6:$A$2564,$H121-5)) *
   ('Jurnal Umum'!$C$6:$C$2564=INDEX('Jurnal Umum'!$C$6:$C$2564,$H121-5)) *
   ('Jurnal Umum'!$D$6:$D$2564&lt;&gt;$B$5)
 ,0)),""))</f>
        <v>Talangan ongkir DMK Cargo tanggal 21</v>
      </c>
      <c r="C121" s="98" t="str">
        <f t="array" ref="C121">IF($H121="","",INDEX('Jurnal Umum'!$B$6:$B$2564,$H121-5))</f>
        <v/>
      </c>
      <c r="D121" s="99">
        <f t="array" ref="D121">IF($H121="","",IF(INDEX('Jurnal Umum'!$F$6:$F$2564,$H121-5)="",0,INDEX('Jurnal Umum'!$F$6:$F$2564,$H121-5)))</f>
        <v>0</v>
      </c>
      <c r="E121" s="99">
        <f t="array" ref="E121">IF($H121="","",IF(INDEX('Jurnal Umum'!$G$6:$G$2564,$H121-5)="",0,INDEX('Jurnal Umum'!$G$6:$G$2564,$H121-5)))</f>
        <v>2570064</v>
      </c>
      <c r="F121" s="100">
        <f t="shared" si="1"/>
        <v>22464886</v>
      </c>
      <c r="G121" s="80"/>
      <c r="H121" s="101">
        <f>IFERROR(MATCH($B$5&amp;"-"&amp;113,'Jurnal Umum'!$J$6:$J$909,0)+5,"")</f>
        <v>555</v>
      </c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96">
        <f t="array" ref="A122">IF($H122="","",INDEX('Jurnal Umum'!$A$6:$A$2564,$H122-5))</f>
        <v>46256</v>
      </c>
      <c r="B122" s="97" t="str">
        <f t="array" ref="B122">IF($H122="","",IFERROR(INDEX('Jurnal Umum'!$C$6:$C$2564,
 MATCH(1,
   ('Jurnal Umum'!$A$6:$A$2564=INDEX('Jurnal Umum'!$A$6:$A$2564,$H122-5)) *
   ('Jurnal Umum'!$C$6:$C$2564=INDEX('Jurnal Umum'!$C$6:$C$2564,$H122-5)) *
   ('Jurnal Umum'!$D$6:$D$2564&lt;&gt;$B$5)
 ,0)),""))</f>
        <v>Pengembalian talangan ongkir DMK tgl 21</v>
      </c>
      <c r="C122" s="98" t="str">
        <f t="array" ref="C122">IF($H122="","",INDEX('Jurnal Umum'!$B$6:$B$2564,$H122-5))</f>
        <v/>
      </c>
      <c r="D122" s="99">
        <f t="array" ref="D122">IF($H122="","",IF(INDEX('Jurnal Umum'!$F$6:$F$2564,$H122-5)="",0,INDEX('Jurnal Umum'!$F$6:$F$2564,$H122-5)))</f>
        <v>2745064</v>
      </c>
      <c r="E122" s="99">
        <f t="array" ref="E122">IF($H122="","",IF(INDEX('Jurnal Umum'!$G$6:$G$2564,$H122-5)="",0,INDEX('Jurnal Umum'!$G$6:$G$2564,$H122-5)))</f>
        <v>0</v>
      </c>
      <c r="F122" s="100">
        <f t="shared" si="1"/>
        <v>25209950</v>
      </c>
      <c r="G122" s="80"/>
      <c r="H122" s="101">
        <f>IFERROR(MATCH($B$5&amp;"-"&amp;114,'Jurnal Umum'!$J$6:$J$909,0)+5,"")</f>
        <v>560</v>
      </c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96">
        <f t="array" ref="A123">IF($H123="","",INDEX('Jurnal Umum'!$A$6:$A$2564,$H123-5))</f>
        <v>46256</v>
      </c>
      <c r="B123" s="97" t="str">
        <f t="array" ref="B123">IF($H123="","",IFERROR(INDEX('Jurnal Umum'!$C$6:$C$2564,
 MATCH(1,
   ('Jurnal Umum'!$A$6:$A$2564=INDEX('Jurnal Umum'!$A$6:$A$2564,$H123-5)) *
   ('Jurnal Umum'!$C$6:$C$2564=INDEX('Jurnal Umum'!$C$6:$C$2564,$H123-5)) *
   ('Jurnal Umum'!$D$6:$D$2564&lt;&gt;$B$5)
 ,0)),""))</f>
        <v>Pembayaran penjualan tanggal 21</v>
      </c>
      <c r="C123" s="98" t="str">
        <f t="array" ref="C123">IF($H123="","",INDEX('Jurnal Umum'!$B$6:$B$2564,$H123-5))</f>
        <v/>
      </c>
      <c r="D123" s="99">
        <f t="array" ref="D123">IF($H123="","",IF(INDEX('Jurnal Umum'!$F$6:$F$2564,$H123-5)="",0,INDEX('Jurnal Umum'!$F$6:$F$2564,$H123-5)))</f>
        <v>2607500</v>
      </c>
      <c r="E123" s="99">
        <f t="array" ref="E123">IF($H123="","",IF(INDEX('Jurnal Umum'!$G$6:$G$2564,$H123-5)="",0,INDEX('Jurnal Umum'!$G$6:$G$2564,$H123-5)))</f>
        <v>0</v>
      </c>
      <c r="F123" s="100">
        <f t="shared" si="1"/>
        <v>27817450</v>
      </c>
      <c r="G123" s="80"/>
      <c r="H123" s="101">
        <f>IFERROR(MATCH($B$5&amp;"-"&amp;115,'Jurnal Umum'!$J$6:$J$909,0)+5,"")</f>
        <v>562</v>
      </c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96">
        <f t="array" ref="A124">IF($H124="","",INDEX('Jurnal Umum'!$A$6:$A$2564,$H124-5))</f>
        <v>46256</v>
      </c>
      <c r="B124" s="97" t="str">
        <f t="array" ref="B124">IF($H124="","",IFERROR(INDEX('Jurnal Umum'!$C$6:$C$2564,
 MATCH(1,
   ('Jurnal Umum'!$A$6:$A$2564=INDEX('Jurnal Umum'!$A$6:$A$2564,$H124-5)) *
   ('Jurnal Umum'!$C$6:$C$2564=INDEX('Jurnal Umum'!$C$6:$C$2564,$H124-5)) *
   ('Jurnal Umum'!$D$6:$D$2564&lt;&gt;$B$5)
 ,0)),""))</f>
        <v>Talangan Ongkir DMK Cargo tanggal 22</v>
      </c>
      <c r="C124" s="98" t="str">
        <f t="array" ref="C124">IF($H124="","",INDEX('Jurnal Umum'!$B$6:$B$2564,$H124-5))</f>
        <v/>
      </c>
      <c r="D124" s="99">
        <f t="array" ref="D124">IF($H124="","",IF(INDEX('Jurnal Umum'!$F$6:$F$2564,$H124-5)="",0,INDEX('Jurnal Umum'!$F$6:$F$2564,$H124-5)))</f>
        <v>0</v>
      </c>
      <c r="E124" s="99">
        <f t="array" ref="E124">IF($H124="","",IF(INDEX('Jurnal Umum'!$G$6:$G$2564,$H124-5)="",0,INDEX('Jurnal Umum'!$G$6:$G$2564,$H124-5)))</f>
        <v>773415</v>
      </c>
      <c r="F124" s="100">
        <f t="shared" si="1"/>
        <v>27044035</v>
      </c>
      <c r="G124" s="80"/>
      <c r="H124" s="101">
        <f>IFERROR(MATCH($B$5&amp;"-"&amp;116,'Jurnal Umum'!$J$6:$J$909,0)+5,"")</f>
        <v>565</v>
      </c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96">
        <f t="array" ref="A125">IF($H125="","",INDEX('Jurnal Umum'!$A$6:$A$2564,$H125-5))</f>
        <v>46258</v>
      </c>
      <c r="B125" s="97" t="str">
        <f t="array" ref="B125">IF($H125="","",IFERROR(INDEX('Jurnal Umum'!$C$6:$C$2564,
 MATCH(1,
   ('Jurnal Umum'!$A$6:$A$2564=INDEX('Jurnal Umum'!$A$6:$A$2564,$H125-5)) *
   ('Jurnal Umum'!$C$6:$C$2564=INDEX('Jurnal Umum'!$C$6:$C$2564,$H125-5)) *
   ('Jurnal Umum'!$D$6:$D$2564&lt;&gt;$B$5)
 ,0)),""))</f>
        <v>Tarik Tunai untuk kas operasional</v>
      </c>
      <c r="C125" s="98" t="str">
        <f t="array" ref="C125">IF($H125="","",INDEX('Jurnal Umum'!$B$6:$B$2564,$H125-5))</f>
        <v/>
      </c>
      <c r="D125" s="99">
        <f t="array" ref="D125">IF($H125="","",IF(INDEX('Jurnal Umum'!$F$6:$F$2564,$H125-5)="",0,INDEX('Jurnal Umum'!$F$6:$F$2564,$H125-5)))</f>
        <v>0</v>
      </c>
      <c r="E125" s="99">
        <f t="array" ref="E125">IF($H125="","",IF(INDEX('Jurnal Umum'!$G$6:$G$2564,$H125-5)="",0,INDEX('Jurnal Umum'!$G$6:$G$2564,$H125-5)))</f>
        <v>2000000</v>
      </c>
      <c r="F125" s="100">
        <f t="shared" si="1"/>
        <v>25044035</v>
      </c>
      <c r="G125" s="80"/>
      <c r="H125" s="101">
        <f>IFERROR(MATCH($B$5&amp;"-"&amp;117,'Jurnal Umum'!$J$6:$J$909,0)+5,"")</f>
        <v>571</v>
      </c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96">
        <f t="array" ref="A126">IF($H126="","",INDEX('Jurnal Umum'!$A$6:$A$2564,$H126-5))</f>
        <v>46258</v>
      </c>
      <c r="B126" s="97" t="str">
        <f t="array" ref="B126">IF($H126="","",IFERROR(INDEX('Jurnal Umum'!$C$6:$C$2564,
 MATCH(1,
   ('Jurnal Umum'!$A$6:$A$2564=INDEX('Jurnal Umum'!$A$6:$A$2564,$H126-5)) *
   ('Jurnal Umum'!$C$6:$C$2564=INDEX('Jurnal Umum'!$C$6:$C$2564,$H126-5)) *
   ('Jurnal Umum'!$D$6:$D$2564&lt;&gt;$B$5)
 ,0)),""))</f>
        <v>Pembayaran talangan ongkir DMK tanggal 22</v>
      </c>
      <c r="C126" s="98" t="str">
        <f t="array" ref="C126">IF($H126="","",INDEX('Jurnal Umum'!$B$6:$B$2564,$H126-5))</f>
        <v/>
      </c>
      <c r="D126" s="99">
        <f t="array" ref="D126">IF($H126="","",IF(INDEX('Jurnal Umum'!$F$6:$F$2564,$H126-5)="",0,INDEX('Jurnal Umum'!$F$6:$F$2564,$H126-5)))</f>
        <v>773415</v>
      </c>
      <c r="E126" s="99">
        <f t="array" ref="E126">IF($H126="","",IF(INDEX('Jurnal Umum'!$G$6:$G$2564,$H126-5)="",0,INDEX('Jurnal Umum'!$G$6:$G$2564,$H126-5)))</f>
        <v>0</v>
      </c>
      <c r="F126" s="100">
        <f t="shared" si="1"/>
        <v>25817450</v>
      </c>
      <c r="G126" s="80"/>
      <c r="H126" s="101">
        <f>IFERROR(MATCH($B$5&amp;"-"&amp;118,'Jurnal Umum'!$J$6:$J$909,0)+5,"")</f>
        <v>572</v>
      </c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96">
        <f t="array" ref="A127">IF($H127="","",INDEX('Jurnal Umum'!$A$6:$A$2564,$H127-5))</f>
        <v>46258</v>
      </c>
      <c r="B127" s="97" t="str">
        <f t="array" ref="B127">IF($H127="","",IFERROR(INDEX('Jurnal Umum'!$C$6:$C$2564,
 MATCH(1,
   ('Jurnal Umum'!$A$6:$A$2564=INDEX('Jurnal Umum'!$A$6:$A$2564,$H127-5)) *
   ('Jurnal Umum'!$C$6:$C$2564=INDEX('Jurnal Umum'!$C$6:$C$2564,$H127-5)) *
   ('Jurnal Umum'!$D$6:$D$2564&lt;&gt;$B$5)
 ,0)),""))</f>
        <v>Pembayaran Penjualan tanggal 22</v>
      </c>
      <c r="C127" s="98" t="str">
        <f t="array" ref="C127">IF($H127="","",INDEX('Jurnal Umum'!$B$6:$B$2564,$H127-5))</f>
        <v/>
      </c>
      <c r="D127" s="99">
        <f t="array" ref="D127">IF($H127="","",IF(INDEX('Jurnal Umum'!$F$6:$F$2564,$H127-5)="",0,INDEX('Jurnal Umum'!$F$6:$F$2564,$H127-5)))</f>
        <v>342500</v>
      </c>
      <c r="E127" s="99">
        <f t="array" ref="E127">IF($H127="","",IF(INDEX('Jurnal Umum'!$G$6:$G$2564,$H127-5)="",0,INDEX('Jurnal Umum'!$G$6:$G$2564,$H127-5)))</f>
        <v>0</v>
      </c>
      <c r="F127" s="100">
        <f t="shared" si="1"/>
        <v>26159950</v>
      </c>
      <c r="G127" s="80"/>
      <c r="H127" s="101">
        <f>IFERROR(MATCH($B$5&amp;"-"&amp;119,'Jurnal Umum'!$J$6:$J$909,0)+5,"")</f>
        <v>574</v>
      </c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96">
        <f t="array" ref="A128">IF($H128="","",INDEX('Jurnal Umum'!$A$6:$A$2564,$H128-5))</f>
        <v>46258</v>
      </c>
      <c r="B128" s="97" t="str">
        <f t="array" ref="B128">IF($H128="","",IFERROR(INDEX('Jurnal Umum'!$C$6:$C$2564,
 MATCH(1,
   ('Jurnal Umum'!$A$6:$A$2564=INDEX('Jurnal Umum'!$A$6:$A$2564,$H128-5)) *
   ('Jurnal Umum'!$C$6:$C$2564=INDEX('Jurnal Umum'!$C$6:$C$2564,$H128-5)) *
   ('Jurnal Umum'!$D$6:$D$2564&lt;&gt;$B$5)
 ,0)),""))</f>
        <v>Pembelian Bunga di Vendor - Mba Yeti</v>
      </c>
      <c r="C128" s="98" t="str">
        <f t="array" ref="C128">IF($H128="","",INDEX('Jurnal Umum'!$B$6:$B$2564,$H128-5))</f>
        <v/>
      </c>
      <c r="D128" s="99">
        <f t="array" ref="D128">IF($H128="","",IF(INDEX('Jurnal Umum'!$F$6:$F$2564,$H128-5)="",0,INDEX('Jurnal Umum'!$F$6:$F$2564,$H128-5)))</f>
        <v>0</v>
      </c>
      <c r="E128" s="99">
        <f t="array" ref="E128">IF($H128="","",IF(INDEX('Jurnal Umum'!$G$6:$G$2564,$H128-5)="",0,INDEX('Jurnal Umum'!$G$6:$G$2564,$H128-5)))</f>
        <v>645000</v>
      </c>
      <c r="F128" s="100">
        <f t="shared" si="1"/>
        <v>25514950</v>
      </c>
      <c r="G128" s="80"/>
      <c r="H128" s="101">
        <f>IFERROR(MATCH($B$5&amp;"-"&amp;120,'Jurnal Umum'!$J$6:$J$909,0)+5,"")</f>
        <v>585</v>
      </c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96">
        <f t="array" ref="A129">IF($H129="","",INDEX('Jurnal Umum'!$A$6:$A$2564,$H129-5))</f>
        <v>46258</v>
      </c>
      <c r="B129" s="97" t="str">
        <f t="array" ref="B129">IF($H129="","",IFERROR(INDEX('Jurnal Umum'!$C$6:$C$2564,
 MATCH(1,
   ('Jurnal Umum'!$A$6:$A$2564=INDEX('Jurnal Umum'!$A$6:$A$2564,$H129-5)) *
   ('Jurnal Umum'!$C$6:$C$2564=INDEX('Jurnal Umum'!$C$6:$C$2564,$H129-5)) *
   ('Jurnal Umum'!$D$6:$D$2564&lt;&gt;$B$5)
 ,0)),""))</f>
        <v>Pembelian Bunga di WKF</v>
      </c>
      <c r="C129" s="98" t="str">
        <f t="array" ref="C129">IF($H129="","",INDEX('Jurnal Umum'!$B$6:$B$2564,$H129-5))</f>
        <v>BK-260824-001</v>
      </c>
      <c r="D129" s="99">
        <f t="array" ref="D129">IF($H129="","",IF(INDEX('Jurnal Umum'!$F$6:$F$2564,$H129-5)="",0,INDEX('Jurnal Umum'!$F$6:$F$2564,$H129-5)))</f>
        <v>0</v>
      </c>
      <c r="E129" s="99">
        <f t="array" ref="E129">IF($H129="","",IF(INDEX('Jurnal Umum'!$G$6:$G$2564,$H129-5)="",0,INDEX('Jurnal Umum'!$G$6:$G$2564,$H129-5)))</f>
        <v>25000</v>
      </c>
      <c r="F129" s="100">
        <f t="shared" si="1"/>
        <v>25489950</v>
      </c>
      <c r="G129" s="80"/>
      <c r="H129" s="101">
        <f>IFERROR(MATCH($B$5&amp;"-"&amp;121,'Jurnal Umum'!$J$6:$J$909,0)+5,"")</f>
        <v>587</v>
      </c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96">
        <f t="array" ref="A130">IF($H130="","",INDEX('Jurnal Umum'!$A$6:$A$2564,$H130-5))</f>
        <v>46258</v>
      </c>
      <c r="B130" s="97" t="str">
        <f t="array" ref="B130">IF($H130="","",IFERROR(INDEX('Jurnal Umum'!$C$6:$C$2564,
 MATCH(1,
   ('Jurnal Umum'!$A$6:$A$2564=INDEX('Jurnal Umum'!$A$6:$A$2564,$H130-5)) *
   ('Jurnal Umum'!$C$6:$C$2564=INDEX('Jurnal Umum'!$C$6:$C$2564,$H130-5)) *
   ('Jurnal Umum'!$D$6:$D$2564&lt;&gt;$B$5)
 ,0)),""))</f>
        <v>Pembayaran bunga di WKF tanggal 14 dan tanggal 20</v>
      </c>
      <c r="C130" s="98" t="str">
        <f t="array" ref="C130">IF($H130="","",INDEX('Jurnal Umum'!$B$6:$B$2564,$H130-5))</f>
        <v/>
      </c>
      <c r="D130" s="99">
        <f t="array" ref="D130">IF($H130="","",IF(INDEX('Jurnal Umum'!$F$6:$F$2564,$H130-5)="",0,INDEX('Jurnal Umum'!$F$6:$F$2564,$H130-5)))</f>
        <v>0</v>
      </c>
      <c r="E130" s="99">
        <f t="array" ref="E130">IF($H130="","",IF(INDEX('Jurnal Umum'!$G$6:$G$2564,$H130-5)="",0,INDEX('Jurnal Umum'!$G$6:$G$2564,$H130-5)))</f>
        <v>755000</v>
      </c>
      <c r="F130" s="100">
        <f t="shared" si="1"/>
        <v>24734950</v>
      </c>
      <c r="G130" s="80"/>
      <c r="H130" s="101">
        <f>IFERROR(MATCH($B$5&amp;"-"&amp;122,'Jurnal Umum'!$J$6:$J$909,0)+5,"")</f>
        <v>589</v>
      </c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96">
        <f t="array" ref="A131">IF($H131="","",INDEX('Jurnal Umum'!$A$6:$A$2564,$H131-5))</f>
        <v>46259</v>
      </c>
      <c r="B131" s="97" t="str">
        <f t="array" ref="B131">IF($H131="","",IFERROR(INDEX('Jurnal Umum'!$C$6:$C$2564,
 MATCH(1,
   ('Jurnal Umum'!$A$6:$A$2564=INDEX('Jurnal Umum'!$A$6:$A$2564,$H131-5)) *
   ('Jurnal Umum'!$C$6:$C$2564=INDEX('Jurnal Umum'!$C$6:$C$2564,$H131-5)) *
   ('Jurnal Umum'!$D$6:$D$2564&lt;&gt;$B$5)
 ,0)),""))</f>
        <v>Talangan Ongkir DMK Cargo tanggal 24</v>
      </c>
      <c r="C131" s="98" t="str">
        <f t="array" ref="C131">IF($H131="","",INDEX('Jurnal Umum'!$B$6:$B$2564,$H131-5))</f>
        <v/>
      </c>
      <c r="D131" s="99">
        <f t="array" ref="D131">IF($H131="","",IF(INDEX('Jurnal Umum'!$F$6:$F$2564,$H131-5)="",0,INDEX('Jurnal Umum'!$F$6:$F$2564,$H131-5)))</f>
        <v>0</v>
      </c>
      <c r="E131" s="99">
        <f t="array" ref="E131">IF($H131="","",IF(INDEX('Jurnal Umum'!$G$6:$G$2564,$H131-5)="",0,INDEX('Jurnal Umum'!$G$6:$G$2564,$H131-5)))</f>
        <v>1410649</v>
      </c>
      <c r="F131" s="100">
        <f t="shared" si="1"/>
        <v>23324301</v>
      </c>
      <c r="G131" s="80"/>
      <c r="H131" s="101">
        <f>IFERROR(MATCH($B$5&amp;"-"&amp;123,'Jurnal Umum'!$J$6:$J$909,0)+5,"")</f>
        <v>599</v>
      </c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96">
        <f t="array" ref="A132">IF($H132="","",INDEX('Jurnal Umum'!$A$6:$A$2564,$H132-5))</f>
        <v>46259</v>
      </c>
      <c r="B132" s="97" t="str">
        <f t="array" ref="B132">IF($H132="","",IFERROR(INDEX('Jurnal Umum'!$C$6:$C$2564,
 MATCH(1,
   ('Jurnal Umum'!$A$6:$A$2564=INDEX('Jurnal Umum'!$A$6:$A$2564,$H132-5)) *
   ('Jurnal Umum'!$C$6:$C$2564=INDEX('Jurnal Umum'!$C$6:$C$2564,$H132-5)) *
   ('Jurnal Umum'!$D$6:$D$2564&lt;&gt;$B$5)
 ,0)),""))</f>
        <v>Pembayaran Penjualan tanggal 24</v>
      </c>
      <c r="C132" s="98" t="str">
        <f t="array" ref="C132">IF($H132="","",INDEX('Jurnal Umum'!$B$6:$B$2564,$H132-5))</f>
        <v/>
      </c>
      <c r="D132" s="99">
        <f t="array" ref="D132">IF($H132="","",IF(INDEX('Jurnal Umum'!$F$6:$F$2564,$H132-5)="",0,INDEX('Jurnal Umum'!$F$6:$F$2564,$H132-5)))</f>
        <v>2341750</v>
      </c>
      <c r="E132" s="99">
        <f t="array" ref="E132">IF($H132="","",IF(INDEX('Jurnal Umum'!$G$6:$G$2564,$H132-5)="",0,INDEX('Jurnal Umum'!$G$6:$G$2564,$H132-5)))</f>
        <v>0</v>
      </c>
      <c r="F132" s="100">
        <f t="shared" si="1"/>
        <v>25666051</v>
      </c>
      <c r="G132" s="80"/>
      <c r="H132" s="101">
        <f>IFERROR(MATCH($B$5&amp;"-"&amp;124,'Jurnal Umum'!$J$6:$J$909,0)+5,"")</f>
        <v>600</v>
      </c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96">
        <f t="array" ref="A133">IF($H133="","",INDEX('Jurnal Umum'!$A$6:$A$2564,$H133-5))</f>
        <v>46259</v>
      </c>
      <c r="B133" s="97" t="str">
        <f t="array" ref="B133">IF($H133="","",IFERROR(INDEX('Jurnal Umum'!$C$6:$C$2564,
 MATCH(1,
   ('Jurnal Umum'!$A$6:$A$2564=INDEX('Jurnal Umum'!$A$6:$A$2564,$H133-5)) *
   ('Jurnal Umum'!$C$6:$C$2564=INDEX('Jurnal Umum'!$C$6:$C$2564,$H133-5)) *
   ('Jurnal Umum'!$D$6:$D$2564&lt;&gt;$B$5)
 ,0)),""))</f>
        <v>Pembayaran talangan Ongkir tanggal 24</v>
      </c>
      <c r="C133" s="98" t="str">
        <f t="array" ref="C133">IF($H133="","",INDEX('Jurnal Umum'!$B$6:$B$2564,$H133-5))</f>
        <v/>
      </c>
      <c r="D133" s="99">
        <f t="array" ref="D133">IF($H133="","",IF(INDEX('Jurnal Umum'!$F$6:$F$2564,$H133-5)="",0,INDEX('Jurnal Umum'!$F$6:$F$2564,$H133-5)))</f>
        <v>1485649</v>
      </c>
      <c r="E133" s="99">
        <f t="array" ref="E133">IF($H133="","",IF(INDEX('Jurnal Umum'!$G$6:$G$2564,$H133-5)="",0,INDEX('Jurnal Umum'!$G$6:$G$2564,$H133-5)))</f>
        <v>0</v>
      </c>
      <c r="F133" s="100">
        <f t="shared" si="1"/>
        <v>27151700</v>
      </c>
      <c r="G133" s="80"/>
      <c r="H133" s="101">
        <f>IFERROR(MATCH($B$5&amp;"-"&amp;125,'Jurnal Umum'!$J$6:$J$909,0)+5,"")</f>
        <v>602</v>
      </c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96">
        <f t="array" ref="A134">IF($H134="","",INDEX('Jurnal Umum'!$A$6:$A$2564,$H134-5))</f>
        <v>46259</v>
      </c>
      <c r="B134" s="97" t="str">
        <f t="array" ref="B134">IF($H134="","",IFERROR(INDEX('Jurnal Umum'!$C$6:$C$2564,
 MATCH(1,
   ('Jurnal Umum'!$A$6:$A$2564=INDEX('Jurnal Umum'!$A$6:$A$2564,$H134-5)) *
   ('Jurnal Umum'!$C$6:$C$2564=INDEX('Jurnal Umum'!$C$6:$C$2564,$H134-5)) *
   ('Jurnal Umum'!$D$6:$D$2564&lt;&gt;$B$5)
 ,0)),""))</f>
        <v>Pembelian Bunga Hortensia - Mas Arip</v>
      </c>
      <c r="C134" s="98" t="str">
        <f t="array" ref="C134">IF($H134="","",INDEX('Jurnal Umum'!$B$6:$B$2564,$H134-5))</f>
        <v/>
      </c>
      <c r="D134" s="99">
        <f t="array" ref="D134">IF($H134="","",IF(INDEX('Jurnal Umum'!$F$6:$F$2564,$H134-5)="",0,INDEX('Jurnal Umum'!$F$6:$F$2564,$H134-5)))</f>
        <v>0</v>
      </c>
      <c r="E134" s="99">
        <f t="array" ref="E134">IF($H134="","",IF(INDEX('Jurnal Umum'!$G$6:$G$2564,$H134-5)="",0,INDEX('Jurnal Umum'!$G$6:$G$2564,$H134-5)))</f>
        <v>330000</v>
      </c>
      <c r="F134" s="100">
        <f t="shared" si="1"/>
        <v>26821700</v>
      </c>
      <c r="G134" s="80"/>
      <c r="H134" s="101">
        <f>IFERROR(MATCH($B$5&amp;"-"&amp;126,'Jurnal Umum'!$J$6:$J$909,0)+5,"")</f>
        <v>607</v>
      </c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96">
        <f t="array" ref="A135">IF($H135="","",INDEX('Jurnal Umum'!$A$6:$A$2564,$H135-5))</f>
        <v>46259</v>
      </c>
      <c r="B135" s="97" t="str">
        <f t="array" ref="B135">IF($H135="","",IFERROR(INDEX('Jurnal Umum'!$C$6:$C$2564,
 MATCH(1,
   ('Jurnal Umum'!$A$6:$A$2564=INDEX('Jurnal Umum'!$A$6:$A$2564,$H135-5)) *
   ('Jurnal Umum'!$C$6:$C$2564=INDEX('Jurnal Umum'!$C$6:$C$2564,$H135-5)) *
   ('Jurnal Umum'!$D$6:$D$2564&lt;&gt;$B$5)
 ,0)),""))</f>
        <v>Pembelian Bunga di Om Toha</v>
      </c>
      <c r="C135" s="98" t="str">
        <f t="array" ref="C135">IF($H135="","",INDEX('Jurnal Umum'!$B$6:$B$2564,$H135-5))</f>
        <v/>
      </c>
      <c r="D135" s="99">
        <f t="array" ref="D135">IF($H135="","",IF(INDEX('Jurnal Umum'!$F$6:$F$2564,$H135-5)="",0,INDEX('Jurnal Umum'!$F$6:$F$2564,$H135-5)))</f>
        <v>0</v>
      </c>
      <c r="E135" s="99">
        <f t="array" ref="E135">IF($H135="","",IF(INDEX('Jurnal Umum'!$G$6:$G$2564,$H135-5)="",0,INDEX('Jurnal Umum'!$G$6:$G$2564,$H135-5)))</f>
        <v>520000</v>
      </c>
      <c r="F135" s="100">
        <f t="shared" si="1"/>
        <v>26301700</v>
      </c>
      <c r="G135" s="80"/>
      <c r="H135" s="101">
        <f>IFERROR(MATCH($B$5&amp;"-"&amp;127,'Jurnal Umum'!$J$6:$J$909,0)+5,"")</f>
        <v>609</v>
      </c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96">
        <f t="array" ref="A136">IF($H136="","",INDEX('Jurnal Umum'!$A$6:$A$2564,$H136-5))</f>
        <v>46259</v>
      </c>
      <c r="B136" s="97" t="str">
        <f t="array" ref="B136">IF($H136="","",IFERROR(INDEX('Jurnal Umum'!$C$6:$C$2564,
 MATCH(1,
   ('Jurnal Umum'!$A$6:$A$2564=INDEX('Jurnal Umum'!$A$6:$A$2564,$H136-5)) *
   ('Jurnal Umum'!$C$6:$C$2564=INDEX('Jurnal Umum'!$C$6:$C$2564,$H136-5)) *
   ('Jurnal Umum'!$D$6:$D$2564&lt;&gt;$B$5)
 ,0)),""))</f>
        <v>Bibit di Om Toha - Greenhouse belakang</v>
      </c>
      <c r="C136" s="98" t="str">
        <f t="array" ref="C136">IF($H136="","",INDEX('Jurnal Umum'!$B$6:$B$2564,$H136-5))</f>
        <v/>
      </c>
      <c r="D136" s="99">
        <f t="array" ref="D136">IF($H136="","",IF(INDEX('Jurnal Umum'!$F$6:$F$2564,$H136-5)="",0,INDEX('Jurnal Umum'!$F$6:$F$2564,$H136-5)))</f>
        <v>0</v>
      </c>
      <c r="E136" s="99">
        <f t="array" ref="E136">IF($H136="","",IF(INDEX('Jurnal Umum'!$G$6:$G$2564,$H136-5)="",0,INDEX('Jurnal Umum'!$G$6:$G$2564,$H136-5)))</f>
        <v>2100000</v>
      </c>
      <c r="F136" s="100">
        <f t="shared" si="1"/>
        <v>24201700</v>
      </c>
      <c r="G136" s="80"/>
      <c r="H136" s="101">
        <f>IFERROR(MATCH($B$5&amp;"-"&amp;128,'Jurnal Umum'!$J$6:$J$909,0)+5,"")</f>
        <v>611</v>
      </c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96">
        <f t="array" ref="A137">IF($H137="","",INDEX('Jurnal Umum'!$A$6:$A$2564,$H137-5))</f>
        <v>46259</v>
      </c>
      <c r="B137" s="97" t="str">
        <f t="array" ref="B137">IF($H137="","",IFERROR(INDEX('Jurnal Umum'!$C$6:$C$2564,
 MATCH(1,
   ('Jurnal Umum'!$A$6:$A$2564=INDEX('Jurnal Umum'!$A$6:$A$2564,$H137-5)) *
   ('Jurnal Umum'!$C$6:$C$2564=INDEX('Jurnal Umum'!$C$6:$C$2564,$H137-5)) *
   ('Jurnal Umum'!$D$6:$D$2564&lt;&gt;$B$5)
 ,0)),""))</f>
        <v>Kasbon Karyawan - Mba Dinda</v>
      </c>
      <c r="C137" s="98" t="str">
        <f t="array" ref="C137">IF($H137="","",INDEX('Jurnal Umum'!$B$6:$B$2564,$H137-5))</f>
        <v/>
      </c>
      <c r="D137" s="99">
        <f t="array" ref="D137">IF($H137="","",IF(INDEX('Jurnal Umum'!$F$6:$F$2564,$H137-5)="",0,INDEX('Jurnal Umum'!$F$6:$F$2564,$H137-5)))</f>
        <v>0</v>
      </c>
      <c r="E137" s="99">
        <f t="array" ref="E137">IF($H137="","",IF(INDEX('Jurnal Umum'!$G$6:$G$2564,$H137-5)="",0,INDEX('Jurnal Umum'!$G$6:$G$2564,$H137-5)))</f>
        <v>350000</v>
      </c>
      <c r="F137" s="100">
        <f t="shared" si="1"/>
        <v>23851700</v>
      </c>
      <c r="G137" s="80"/>
      <c r="H137" s="101">
        <f>IFERROR(MATCH($B$5&amp;"-"&amp;129,'Jurnal Umum'!$J$6:$J$909,0)+5,"")</f>
        <v>613</v>
      </c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96">
        <f t="array" ref="A138">IF($H138="","",INDEX('Jurnal Umum'!$A$6:$A$2564,$H138-5))</f>
        <v>46260</v>
      </c>
      <c r="B138" s="97" t="str">
        <f t="array" ref="B138">IF($H138="","",IFERROR(INDEX('Jurnal Umum'!$C$6:$C$2564,
 MATCH(1,
   ('Jurnal Umum'!$A$6:$A$2564=INDEX('Jurnal Umum'!$A$6:$A$2564,$H138-5)) *
   ('Jurnal Umum'!$C$6:$C$2564=INDEX('Jurnal Umum'!$C$6:$C$2564,$H138-5)) *
   ('Jurnal Umum'!$D$6:$D$2564&lt;&gt;$B$5)
 ,0)),""))</f>
        <v>Pemberian Uang ganti bensin Melisa</v>
      </c>
      <c r="C138" s="98" t="str">
        <f t="array" ref="C138">IF($H138="","",INDEX('Jurnal Umum'!$B$6:$B$2564,$H138-5))</f>
        <v/>
      </c>
      <c r="D138" s="99">
        <f t="array" ref="D138">IF($H138="","",IF(INDEX('Jurnal Umum'!$F$6:$F$2564,$H138-5)="",0,INDEX('Jurnal Umum'!$F$6:$F$2564,$H138-5)))</f>
        <v>0</v>
      </c>
      <c r="E138" s="99">
        <f t="array" ref="E138">IF($H138="","",IF(INDEX('Jurnal Umum'!$G$6:$G$2564,$H138-5)="",0,INDEX('Jurnal Umum'!$G$6:$G$2564,$H138-5)))</f>
        <v>50000</v>
      </c>
      <c r="F138" s="100">
        <f t="shared" si="1"/>
        <v>23801700</v>
      </c>
      <c r="G138" s="80"/>
      <c r="H138" s="101">
        <f>IFERROR(MATCH($B$5&amp;"-"&amp;130,'Jurnal Umum'!$J$6:$J$909,0)+5,"")</f>
        <v>615</v>
      </c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96">
        <f t="array" ref="A139">IF($H139="","",INDEX('Jurnal Umum'!$A$6:$A$2564,$H139-5))</f>
        <v>46261</v>
      </c>
      <c r="B139" s="97" t="str">
        <f t="array" ref="B139">IF($H139="","",IFERROR(INDEX('Jurnal Umum'!$C$6:$C$2564,
 MATCH(1,
   ('Jurnal Umum'!$A$6:$A$2564=INDEX('Jurnal Umum'!$A$6:$A$2564,$H139-5)) *
   ('Jurnal Umum'!$C$6:$C$2564=INDEX('Jurnal Umum'!$C$6:$C$2564,$H139-5)) *
   ('Jurnal Umum'!$D$6:$D$2564&lt;&gt;$B$5)
 ,0)),""))</f>
        <v>Talangan pembayaran ongkir DMK Cargo tgl 26</v>
      </c>
      <c r="C139" s="98" t="str">
        <f t="array" ref="C139">IF($H139="","",INDEX('Jurnal Umum'!$B$6:$B$2564,$H139-5))</f>
        <v/>
      </c>
      <c r="D139" s="99">
        <f t="array" ref="D139">IF($H139="","",IF(INDEX('Jurnal Umum'!$F$6:$F$2564,$H139-5)="",0,INDEX('Jurnal Umum'!$F$6:$F$2564,$H139-5)))</f>
        <v>0</v>
      </c>
      <c r="E139" s="99">
        <f t="array" ref="E139">IF($H139="","",IF(INDEX('Jurnal Umum'!$G$6:$G$2564,$H139-5)="",0,INDEX('Jurnal Umum'!$G$6:$G$2564,$H139-5)))</f>
        <v>950239</v>
      </c>
      <c r="F139" s="100">
        <f t="shared" si="1"/>
        <v>22851461</v>
      </c>
      <c r="G139" s="80"/>
      <c r="H139" s="101">
        <f>IFERROR(MATCH($B$5&amp;"-"&amp;131,'Jurnal Umum'!$J$6:$J$909,0)+5,"")</f>
        <v>623</v>
      </c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96">
        <f t="array" ref="A140">IF($H140="","",INDEX('Jurnal Umum'!$A$6:$A$2564,$H140-5))</f>
        <v>46261</v>
      </c>
      <c r="B140" s="97" t="str">
        <f t="array" ref="B140">IF($H140="","",IFERROR(INDEX('Jurnal Umum'!$C$6:$C$2564,
 MATCH(1,
   ('Jurnal Umum'!$A$6:$A$2564=INDEX('Jurnal Umum'!$A$6:$A$2564,$H140-5)) *
   ('Jurnal Umum'!$C$6:$C$2564=INDEX('Jurnal Umum'!$C$6:$C$2564,$H140-5)) *
   ('Jurnal Umum'!$D$6:$D$2564&lt;&gt;$B$5)
 ,0)),""))</f>
        <v>Pembelian Bunga di WKF</v>
      </c>
      <c r="C140" s="98" t="str">
        <f t="array" ref="C140">IF($H140="","",INDEX('Jurnal Umum'!$B$6:$B$2564,$H140-5))</f>
        <v>BK-260827-001</v>
      </c>
      <c r="D140" s="99">
        <f t="array" ref="D140">IF($H140="","",IF(INDEX('Jurnal Umum'!$F$6:$F$2564,$H140-5)="",0,INDEX('Jurnal Umum'!$F$6:$F$2564,$H140-5)))</f>
        <v>0</v>
      </c>
      <c r="E140" s="99">
        <f t="array" ref="E140">IF($H140="","",IF(INDEX('Jurnal Umum'!$G$6:$G$2564,$H140-5)="",0,INDEX('Jurnal Umum'!$G$6:$G$2564,$H140-5)))</f>
        <v>300000</v>
      </c>
      <c r="F140" s="100">
        <f t="shared" si="1"/>
        <v>22551461</v>
      </c>
      <c r="G140" s="80"/>
      <c r="H140" s="101">
        <f>IFERROR(MATCH($B$5&amp;"-"&amp;132,'Jurnal Umum'!$J$6:$J$909,0)+5,"")</f>
        <v>635</v>
      </c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96">
        <f t="array" ref="A141">IF($H141="","",INDEX('Jurnal Umum'!$A$6:$A$2564,$H141-5))</f>
        <v>46261</v>
      </c>
      <c r="B141" s="97" t="str">
        <f t="array" ref="B141">IF($H141="","",IFERROR(INDEX('Jurnal Umum'!$C$6:$C$2564,
 MATCH(1,
   ('Jurnal Umum'!$A$6:$A$2564=INDEX('Jurnal Umum'!$A$6:$A$2564,$H141-5)) *
   ('Jurnal Umum'!$C$6:$C$2564=INDEX('Jurnal Umum'!$C$6:$C$2564,$H141-5)) *
   ('Jurnal Umum'!$D$6:$D$2564&lt;&gt;$B$5)
 ,0)),""))</f>
        <v>Pembelian Bunga di Vendor - Bu Neneng</v>
      </c>
      <c r="C141" s="98" t="str">
        <f t="array" ref="C141">IF($H141="","",INDEX('Jurnal Umum'!$B$6:$B$2564,$H141-5))</f>
        <v/>
      </c>
      <c r="D141" s="99">
        <f t="array" ref="D141">IF($H141="","",IF(INDEX('Jurnal Umum'!$F$6:$F$2564,$H141-5)="",0,INDEX('Jurnal Umum'!$F$6:$F$2564,$H141-5)))</f>
        <v>0</v>
      </c>
      <c r="E141" s="99">
        <f t="array" ref="E141">IF($H141="","",IF(INDEX('Jurnal Umum'!$G$6:$G$2564,$H141-5)="",0,INDEX('Jurnal Umum'!$G$6:$G$2564,$H141-5)))</f>
        <v>526000</v>
      </c>
      <c r="F141" s="100">
        <f t="shared" si="1"/>
        <v>22025461</v>
      </c>
      <c r="G141" s="80"/>
      <c r="H141" s="101">
        <f>IFERROR(MATCH($B$5&amp;"-"&amp;133,'Jurnal Umum'!$J$6:$J$909,0)+5,"")</f>
        <v>637</v>
      </c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96">
        <f t="array" ref="A142">IF($H142="","",INDEX('Jurnal Umum'!$A$6:$A$2564,$H142-5))</f>
        <v>46261</v>
      </c>
      <c r="B142" s="97" t="str">
        <f t="array" ref="B142">IF($H142="","",IFERROR(INDEX('Jurnal Umum'!$C$6:$C$2564,
 MATCH(1,
   ('Jurnal Umum'!$A$6:$A$2564=INDEX('Jurnal Umum'!$A$6:$A$2564,$H142-5)) *
   ('Jurnal Umum'!$C$6:$C$2564=INDEX('Jurnal Umum'!$C$6:$C$2564,$H142-5)) *
   ('Jurnal Umum'!$D$6:$D$2564&lt;&gt;$B$5)
 ,0)),""))</f>
        <v>Pengembalian talangan ongkir DMK Cargo tanggal 26</v>
      </c>
      <c r="C142" s="98" t="str">
        <f t="array" ref="C142">IF($H142="","",INDEX('Jurnal Umum'!$B$6:$B$2564,$H142-5))</f>
        <v/>
      </c>
      <c r="D142" s="99">
        <f t="array" ref="D142">IF($H142="","",IF(INDEX('Jurnal Umum'!$F$6:$F$2564,$H142-5)="",0,INDEX('Jurnal Umum'!$F$6:$F$2564,$H142-5)))</f>
        <v>950239</v>
      </c>
      <c r="E142" s="99">
        <f t="array" ref="E142">IF($H142="","",IF(INDEX('Jurnal Umum'!$G$6:$G$2564,$H142-5)="",0,INDEX('Jurnal Umum'!$G$6:$G$2564,$H142-5)))</f>
        <v>0</v>
      </c>
      <c r="F142" s="100">
        <f t="shared" si="1"/>
        <v>22975700</v>
      </c>
      <c r="G142" s="80"/>
      <c r="H142" s="101">
        <f>IFERROR(MATCH($B$5&amp;"-"&amp;134,'Jurnal Umum'!$J$6:$J$909,0)+5,"")</f>
        <v>638</v>
      </c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96">
        <f t="array" ref="A143">IF($H143="","",INDEX('Jurnal Umum'!$A$6:$A$2564,$H143-5))</f>
        <v>46261</v>
      </c>
      <c r="B143" s="97" t="str">
        <f t="array" ref="B143">IF($H143="","",IFERROR(INDEX('Jurnal Umum'!$C$6:$C$2564,
 MATCH(1,
   ('Jurnal Umum'!$A$6:$A$2564=INDEX('Jurnal Umum'!$A$6:$A$2564,$H143-5)) *
   ('Jurnal Umum'!$C$6:$C$2564=INDEX('Jurnal Umum'!$C$6:$C$2564,$H143-5)) *
   ('Jurnal Umum'!$D$6:$D$2564&lt;&gt;$B$5)
 ,0)),""))</f>
        <v>Pembayaran Penjualan tanggal 26</v>
      </c>
      <c r="C143" s="98" t="str">
        <f t="array" ref="C143">IF($H143="","",INDEX('Jurnal Umum'!$B$6:$B$2564,$H143-5))</f>
        <v/>
      </c>
      <c r="D143" s="99">
        <f t="array" ref="D143">IF($H143="","",IF(INDEX('Jurnal Umum'!$F$6:$F$2564,$H143-5)="",0,INDEX('Jurnal Umum'!$F$6:$F$2564,$H143-5)))</f>
        <v>872250</v>
      </c>
      <c r="E143" s="99">
        <f t="array" ref="E143">IF($H143="","",IF(INDEX('Jurnal Umum'!$G$6:$G$2564,$H143-5)="",0,INDEX('Jurnal Umum'!$G$6:$G$2564,$H143-5)))</f>
        <v>0</v>
      </c>
      <c r="F143" s="100">
        <f t="shared" si="1"/>
        <v>23847950</v>
      </c>
      <c r="G143" s="80"/>
      <c r="H143" s="101">
        <f>IFERROR(MATCH($B$5&amp;"-"&amp;135,'Jurnal Umum'!$J$6:$J$909,0)+5,"")</f>
        <v>640</v>
      </c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96">
        <f t="array" ref="A144">IF($H144="","",INDEX('Jurnal Umum'!$A$6:$A$2564,$H144-5))</f>
        <v>46261</v>
      </c>
      <c r="B144" s="97" t="str">
        <f t="array" ref="B144">IF($H144="","",IFERROR(INDEX('Jurnal Umum'!$C$6:$C$2564,
 MATCH(1,
   ('Jurnal Umum'!$A$6:$A$2564=INDEX('Jurnal Umum'!$A$6:$A$2564,$H144-5)) *
   ('Jurnal Umum'!$C$6:$C$2564=INDEX('Jurnal Umum'!$C$6:$C$2564,$H144-5)) *
   ('Jurnal Umum'!$D$6:$D$2564&lt;&gt;$B$5)
 ,0)),""))</f>
        <v>Pembayaran Penjualan Sarieta tanggal 20</v>
      </c>
      <c r="C144" s="98" t="str">
        <f t="array" ref="C144">IF($H144="","",INDEX('Jurnal Umum'!$B$6:$B$2564,$H144-5))</f>
        <v/>
      </c>
      <c r="D144" s="99">
        <f t="array" ref="D144">IF($H144="","",IF(INDEX('Jurnal Umum'!$F$6:$F$2564,$H144-5)="",0,INDEX('Jurnal Umum'!$F$6:$F$2564,$H144-5)))</f>
        <v>925000</v>
      </c>
      <c r="E144" s="99">
        <f t="array" ref="E144">IF($H144="","",IF(INDEX('Jurnal Umum'!$G$6:$G$2564,$H144-5)="",0,INDEX('Jurnal Umum'!$G$6:$G$2564,$H144-5)))</f>
        <v>0</v>
      </c>
      <c r="F144" s="100">
        <f t="shared" si="1"/>
        <v>24772950</v>
      </c>
      <c r="G144" s="80"/>
      <c r="H144" s="101">
        <f>IFERROR(MATCH($B$5&amp;"-"&amp;136,'Jurnal Umum'!$J$6:$J$909,0)+5,"")</f>
        <v>642</v>
      </c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96">
        <f t="array" ref="A145">IF($H145="","",INDEX('Jurnal Umum'!$A$6:$A$2564,$H145-5))</f>
        <v>46261</v>
      </c>
      <c r="B145" s="97" t="str">
        <f t="array" ref="B145">IF($H145="","",IFERROR(INDEX('Jurnal Umum'!$C$6:$C$2564,
 MATCH(1,
   ('Jurnal Umum'!$A$6:$A$2564=INDEX('Jurnal Umum'!$A$6:$A$2564,$H145-5)) *
   ('Jurnal Umum'!$C$6:$C$2564=INDEX('Jurnal Umum'!$C$6:$C$2564,$H145-5)) *
   ('Jurnal Umum'!$D$6:$D$2564&lt;&gt;$B$5)
 ,0)),""))</f>
        <v>Tip dari Sarieta / bonus</v>
      </c>
      <c r="C145" s="98" t="str">
        <f t="array" ref="C145">IF($H145="","",INDEX('Jurnal Umum'!$B$6:$B$2564,$H145-5))</f>
        <v/>
      </c>
      <c r="D145" s="99">
        <f t="array" ref="D145">IF($H145="","",IF(INDEX('Jurnal Umum'!$F$6:$F$2564,$H145-5)="",0,INDEX('Jurnal Umum'!$F$6:$F$2564,$H145-5)))</f>
        <v>75000</v>
      </c>
      <c r="E145" s="99">
        <f t="array" ref="E145">IF($H145="","",IF(INDEX('Jurnal Umum'!$G$6:$G$2564,$H145-5)="",0,INDEX('Jurnal Umum'!$G$6:$G$2564,$H145-5)))</f>
        <v>0</v>
      </c>
      <c r="F145" s="100">
        <f t="shared" si="1"/>
        <v>24847950</v>
      </c>
      <c r="G145" s="80"/>
      <c r="H145" s="101">
        <f>IFERROR(MATCH($B$5&amp;"-"&amp;137,'Jurnal Umum'!$J$6:$J$909,0)+5,"")</f>
        <v>644</v>
      </c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96">
        <f t="array" ref="A146">IF($H146="","",INDEX('Jurnal Umum'!$A$6:$A$2564,$H146-5))</f>
        <v>46262</v>
      </c>
      <c r="B146" s="97" t="str">
        <f t="array" ref="B146">IF($H146="","",IFERROR(INDEX('Jurnal Umum'!$C$6:$C$2564,
 MATCH(1,
   ('Jurnal Umum'!$A$6:$A$2564=INDEX('Jurnal Umum'!$A$6:$A$2564,$H146-5)) *
   ('Jurnal Umum'!$C$6:$C$2564=INDEX('Jurnal Umum'!$C$6:$C$2564,$H146-5)) *
   ('Jurnal Umum'!$D$6:$D$2564&lt;&gt;$B$5)
 ,0)),""))</f>
        <v>Talangan ongkir DMK Cargo tgl 27</v>
      </c>
      <c r="C146" s="98" t="str">
        <f t="array" ref="C146">IF($H146="","",INDEX('Jurnal Umum'!$B$6:$B$2564,$H146-5))</f>
        <v/>
      </c>
      <c r="D146" s="99">
        <f t="array" ref="D146">IF($H146="","",IF(INDEX('Jurnal Umum'!$F$6:$F$2564,$H146-5)="",0,INDEX('Jurnal Umum'!$F$6:$F$2564,$H146-5)))</f>
        <v>0</v>
      </c>
      <c r="E146" s="99">
        <f t="array" ref="E146">IF($H146="","",IF(INDEX('Jurnal Umum'!$G$6:$G$2564,$H146-5)="",0,INDEX('Jurnal Umum'!$G$6:$G$2564,$H146-5)))</f>
        <v>2132101</v>
      </c>
      <c r="F146" s="100">
        <f t="shared" si="1"/>
        <v>22715849</v>
      </c>
      <c r="G146" s="80"/>
      <c r="H146" s="101">
        <f>IFERROR(MATCH($B$5&amp;"-"&amp;138,'Jurnal Umum'!$J$6:$J$909,0)+5,"")</f>
        <v>653</v>
      </c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96">
        <f t="array" ref="A147">IF($H147="","",INDEX('Jurnal Umum'!$A$6:$A$2564,$H147-5))</f>
        <v>46262</v>
      </c>
      <c r="B147" s="97" t="str">
        <f t="array" ref="B147">IF($H147="","",IFERROR(INDEX('Jurnal Umum'!$C$6:$C$2564,
 MATCH(1,
   ('Jurnal Umum'!$A$6:$A$2564=INDEX('Jurnal Umum'!$A$6:$A$2564,$H147-5)) *
   ('Jurnal Umum'!$C$6:$C$2564=INDEX('Jurnal Umum'!$C$6:$C$2564,$H147-5)) *
   ('Jurnal Umum'!$D$6:$D$2564&lt;&gt;$B$5)
 ,0)),""))</f>
        <v>Tarik Tunai untuk kas operasional</v>
      </c>
      <c r="C147" s="98" t="str">
        <f t="array" ref="C147">IF($H147="","",INDEX('Jurnal Umum'!$B$6:$B$2564,$H147-5))</f>
        <v/>
      </c>
      <c r="D147" s="99">
        <f t="array" ref="D147">IF($H147="","",IF(INDEX('Jurnal Umum'!$F$6:$F$2564,$H147-5)="",0,INDEX('Jurnal Umum'!$F$6:$F$2564,$H147-5)))</f>
        <v>0</v>
      </c>
      <c r="E147" s="99">
        <f t="array" ref="E147">IF($H147="","",IF(INDEX('Jurnal Umum'!$G$6:$G$2564,$H147-5)="",0,INDEX('Jurnal Umum'!$G$6:$G$2564,$H147-5)))</f>
        <v>1527000</v>
      </c>
      <c r="F147" s="100">
        <f t="shared" si="1"/>
        <v>21188849</v>
      </c>
      <c r="G147" s="80"/>
      <c r="H147" s="101">
        <f>IFERROR(MATCH($B$5&amp;"-"&amp;139,'Jurnal Umum'!$J$6:$J$909,0)+5,"")</f>
        <v>655</v>
      </c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96">
        <f t="array" ref="A148">IF($H148="","",INDEX('Jurnal Umum'!$A$6:$A$2564,$H148-5))</f>
        <v>46262</v>
      </c>
      <c r="B148" s="97" t="str">
        <f t="array" ref="B148">IF($H148="","",IFERROR(INDEX('Jurnal Umum'!$C$6:$C$2564,
 MATCH(1,
   ('Jurnal Umum'!$A$6:$A$2564=INDEX('Jurnal Umum'!$A$6:$A$2564,$H148-5)) *
   ('Jurnal Umum'!$C$6:$C$2564=INDEX('Jurnal Umum'!$C$6:$C$2564,$H148-5)) *
   ('Jurnal Umum'!$D$6:$D$2564&lt;&gt;$B$5)
 ,0)),""))</f>
        <v>Pembayaran penjualan tanggal 27</v>
      </c>
      <c r="C148" s="98" t="str">
        <f t="array" ref="C148">IF($H148="","",INDEX('Jurnal Umum'!$B$6:$B$2564,$H148-5))</f>
        <v/>
      </c>
      <c r="D148" s="99">
        <f t="array" ref="D148">IF($H148="","",IF(INDEX('Jurnal Umum'!$F$6:$F$2564,$H148-5)="",0,INDEX('Jurnal Umum'!$F$6:$F$2564,$H148-5)))</f>
        <v>3223875</v>
      </c>
      <c r="E148" s="99">
        <f t="array" ref="E148">IF($H148="","",IF(INDEX('Jurnal Umum'!$G$6:$G$2564,$H148-5)="",0,INDEX('Jurnal Umum'!$G$6:$G$2564,$H148-5)))</f>
        <v>0</v>
      </c>
      <c r="F148" s="100">
        <f t="shared" si="1"/>
        <v>24412724</v>
      </c>
      <c r="G148" s="80"/>
      <c r="H148" s="101">
        <f>IFERROR(MATCH($B$5&amp;"-"&amp;140,'Jurnal Umum'!$J$6:$J$909,0)+5,"")</f>
        <v>658</v>
      </c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96">
        <f t="array" ref="A149">IF($H149="","",INDEX('Jurnal Umum'!$A$6:$A$2564,$H149-5))</f>
        <v>46262</v>
      </c>
      <c r="B149" s="97" t="str">
        <f t="array" ref="B149">IF($H149="","",IFERROR(INDEX('Jurnal Umum'!$C$6:$C$2564,
 MATCH(1,
   ('Jurnal Umum'!$A$6:$A$2564=INDEX('Jurnal Umum'!$A$6:$A$2564,$H149-5)) *
   ('Jurnal Umum'!$C$6:$C$2564=INDEX('Jurnal Umum'!$C$6:$C$2564,$H149-5)) *
   ('Jurnal Umum'!$D$6:$D$2564&lt;&gt;$B$5)
 ,0)),""))</f>
        <v>Pembayaran WIFI Perusahaan</v>
      </c>
      <c r="C149" s="98" t="str">
        <f t="array" ref="C149">IF($H149="","",INDEX('Jurnal Umum'!$B$6:$B$2564,$H149-5))</f>
        <v/>
      </c>
      <c r="D149" s="99">
        <f t="array" ref="D149">IF($H149="","",IF(INDEX('Jurnal Umum'!$F$6:$F$2564,$H149-5)="",0,INDEX('Jurnal Umum'!$F$6:$F$2564,$H149-5)))</f>
        <v>0</v>
      </c>
      <c r="E149" s="99">
        <f t="array" ref="E149">IF($H149="","",IF(INDEX('Jurnal Umum'!$G$6:$G$2564,$H149-5)="",0,INDEX('Jurnal Umum'!$G$6:$G$2564,$H149-5)))</f>
        <v>175000</v>
      </c>
      <c r="F149" s="100">
        <f t="shared" si="1"/>
        <v>24237724</v>
      </c>
      <c r="G149" s="80"/>
      <c r="H149" s="101">
        <f>IFERROR(MATCH($B$5&amp;"-"&amp;141,'Jurnal Umum'!$J$6:$J$909,0)+5,"")</f>
        <v>663</v>
      </c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96">
        <f t="array" ref="A150">IF($H150="","",INDEX('Jurnal Umum'!$A$6:$A$2564,$H150-5))</f>
        <v>46262</v>
      </c>
      <c r="B150" s="97" t="str">
        <f t="array" ref="B150">IF($H150="","",IFERROR(INDEX('Jurnal Umum'!$C$6:$C$2564,
 MATCH(1,
   ('Jurnal Umum'!$A$6:$A$2564=INDEX('Jurnal Umum'!$A$6:$A$2564,$H150-5)) *
   ('Jurnal Umum'!$C$6:$C$2564=INDEX('Jurnal Umum'!$C$6:$C$2564,$H150-5)) *
   ('Jurnal Umum'!$D$6:$D$2564&lt;&gt;$B$5)
 ,0)),""))</f>
        <v>Pembayaran pembelian bunga di Bunga Bromo tanggal 20</v>
      </c>
      <c r="C150" s="98" t="str">
        <f t="array" ref="C150">IF($H150="","",INDEX('Jurnal Umum'!$B$6:$B$2564,$H150-5))</f>
        <v/>
      </c>
      <c r="D150" s="99">
        <f t="array" ref="D150">IF($H150="","",IF(INDEX('Jurnal Umum'!$F$6:$F$2564,$H150-5)="",0,INDEX('Jurnal Umum'!$F$6:$F$2564,$H150-5)))</f>
        <v>0</v>
      </c>
      <c r="E150" s="99">
        <f t="array" ref="E150">IF($H150="","",IF(INDEX('Jurnal Umum'!$G$6:$G$2564,$H150-5)="",0,INDEX('Jurnal Umum'!$G$6:$G$2564,$H150-5)))</f>
        <v>655000</v>
      </c>
      <c r="F150" s="100">
        <f t="shared" si="1"/>
        <v>23582724</v>
      </c>
      <c r="G150" s="80"/>
      <c r="H150" s="101">
        <f>IFERROR(MATCH($B$5&amp;"-"&amp;142,'Jurnal Umum'!$J$6:$J$909,0)+5,"")</f>
        <v>665</v>
      </c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96">
        <f t="array" ref="A151">IF($H151="","",INDEX('Jurnal Umum'!$A$6:$A$2564,$H151-5))</f>
        <v>46262</v>
      </c>
      <c r="B151" s="97" t="str">
        <f t="array" ref="B151">IF($H151="","",IFERROR(INDEX('Jurnal Umum'!$C$6:$C$2564,
 MATCH(1,
   ('Jurnal Umum'!$A$6:$A$2564=INDEX('Jurnal Umum'!$A$6:$A$2564,$H151-5)) *
   ('Jurnal Umum'!$C$6:$C$2564=INDEX('Jurnal Umum'!$C$6:$C$2564,$H151-5)) *
   ('Jurnal Umum'!$D$6:$D$2564&lt;&gt;$B$5)
 ,0)),""))</f>
        <v>Pembelian Bunga di Vendor - Mba Yeti</v>
      </c>
      <c r="C151" s="98" t="str">
        <f t="array" ref="C151">IF($H151="","",INDEX('Jurnal Umum'!$B$6:$B$2564,$H151-5))</f>
        <v/>
      </c>
      <c r="D151" s="99">
        <f t="array" ref="D151">IF($H151="","",IF(INDEX('Jurnal Umum'!$F$6:$F$2564,$H151-5)="",0,INDEX('Jurnal Umum'!$F$6:$F$2564,$H151-5)))</f>
        <v>0</v>
      </c>
      <c r="E151" s="99">
        <f t="array" ref="E151">IF($H151="","",IF(INDEX('Jurnal Umum'!$G$6:$G$2564,$H151-5)="",0,INDEX('Jurnal Umum'!$G$6:$G$2564,$H151-5)))</f>
        <v>405000</v>
      </c>
      <c r="F151" s="100">
        <f t="shared" si="1"/>
        <v>23177724</v>
      </c>
      <c r="G151" s="80"/>
      <c r="H151" s="101">
        <f>IFERROR(MATCH($B$5&amp;"-"&amp;143,'Jurnal Umum'!$J$6:$J$909,0)+5,"")</f>
        <v>667</v>
      </c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96">
        <f t="array" ref="A152">IF($H152="","",INDEX('Jurnal Umum'!$A$6:$A$2564,$H152-5))</f>
        <v>46262</v>
      </c>
      <c r="B152" s="97" t="str">
        <f t="array" ref="B152">IF($H152="","",IFERROR(INDEX('Jurnal Umum'!$C$6:$C$2564,
 MATCH(1,
   ('Jurnal Umum'!$A$6:$A$2564=INDEX('Jurnal Umum'!$A$6:$A$2564,$H152-5)) *
   ('Jurnal Umum'!$C$6:$C$2564=INDEX('Jurnal Umum'!$C$6:$C$2564,$H152-5)) *
   ('Jurnal Umum'!$D$6:$D$2564&lt;&gt;$B$5)
 ,0)),""))</f>
        <v>Admin TF Bank</v>
      </c>
      <c r="C152" s="98" t="str">
        <f t="array" ref="C152">IF($H152="","",INDEX('Jurnal Umum'!$B$6:$B$2564,$H152-5))</f>
        <v/>
      </c>
      <c r="D152" s="99">
        <f t="array" ref="D152">IF($H152="","",IF(INDEX('Jurnal Umum'!$F$6:$F$2564,$H152-5)="",0,INDEX('Jurnal Umum'!$F$6:$F$2564,$H152-5)))</f>
        <v>0</v>
      </c>
      <c r="E152" s="99">
        <f t="array" ref="E152">IF($H152="","",IF(INDEX('Jurnal Umum'!$G$6:$G$2564,$H152-5)="",0,INDEX('Jurnal Umum'!$G$6:$G$2564,$H152-5)))</f>
        <v>5000</v>
      </c>
      <c r="F152" s="100">
        <f t="shared" si="1"/>
        <v>23172724</v>
      </c>
      <c r="G152" s="80"/>
      <c r="H152" s="101">
        <f>IFERROR(MATCH($B$5&amp;"-"&amp;144,'Jurnal Umum'!$J$6:$J$909,0)+5,"")</f>
        <v>669</v>
      </c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96">
        <f t="array" ref="A153">IF($H153="","",INDEX('Jurnal Umum'!$A$6:$A$2564,$H153-5))</f>
        <v>46262</v>
      </c>
      <c r="B153" s="97" t="str">
        <f t="array" ref="B153">IF($H153="","",IFERROR(INDEX('Jurnal Umum'!$C$6:$C$2564,
 MATCH(1,
   ('Jurnal Umum'!$A$6:$A$2564=INDEX('Jurnal Umum'!$A$6:$A$2564,$H153-5)) *
   ('Jurnal Umum'!$C$6:$C$2564=INDEX('Jurnal Umum'!$C$6:$C$2564,$H153-5)) *
   ('Jurnal Umum'!$D$6:$D$2564&lt;&gt;$B$5)
 ,0)),""))</f>
        <v>Abumen Aster - bibit 1000</v>
      </c>
      <c r="C153" s="98" t="str">
        <f t="array" ref="C153">IF($H153="","",INDEX('Jurnal Umum'!$B$6:$B$2564,$H153-5))</f>
        <v/>
      </c>
      <c r="D153" s="99">
        <f t="array" ref="D153">IF($H153="","",IF(INDEX('Jurnal Umum'!$F$6:$F$2564,$H153-5)="",0,INDEX('Jurnal Umum'!$F$6:$F$2564,$H153-5)))</f>
        <v>0</v>
      </c>
      <c r="E153" s="99">
        <f t="array" ref="E153">IF($H153="","",IF(INDEX('Jurnal Umum'!$G$6:$G$2564,$H153-5)="",0,INDEX('Jurnal Umum'!$G$6:$G$2564,$H153-5)))</f>
        <v>2200000</v>
      </c>
      <c r="F153" s="100">
        <f t="shared" si="1"/>
        <v>20972724</v>
      </c>
      <c r="G153" s="80"/>
      <c r="H153" s="101">
        <f>IFERROR(MATCH($B$5&amp;"-"&amp;145,'Jurnal Umum'!$J$6:$J$909,0)+5,"")</f>
        <v>671</v>
      </c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96">
        <f t="array" ref="A154">IF($H154="","",INDEX('Jurnal Umum'!$A$6:$A$2564,$H154-5))</f>
        <v>46263</v>
      </c>
      <c r="B154" s="97" t="str">
        <f t="array" ref="B154">IF($H154="","",IFERROR(INDEX('Jurnal Umum'!$C$6:$C$2564,
 MATCH(1,
   ('Jurnal Umum'!$A$6:$A$2564=INDEX('Jurnal Umum'!$A$6:$A$2564,$H154-5)) *
   ('Jurnal Umum'!$C$6:$C$2564=INDEX('Jurnal Umum'!$C$6:$C$2564,$H154-5)) *
   ('Jurnal Umum'!$D$6:$D$2564&lt;&gt;$B$5)
 ,0)),""))</f>
        <v>Talangan ongkir DMK Cargo tanggal 28</v>
      </c>
      <c r="C154" s="98" t="str">
        <f t="array" ref="C154">IF($H154="","",INDEX('Jurnal Umum'!$B$6:$B$2564,$H154-5))</f>
        <v/>
      </c>
      <c r="D154" s="99">
        <f t="array" ref="D154">IF($H154="","",IF(INDEX('Jurnal Umum'!$F$6:$F$2564,$H154-5)="",0,INDEX('Jurnal Umum'!$F$6:$F$2564,$H154-5)))</f>
        <v>0</v>
      </c>
      <c r="E154" s="99">
        <f t="array" ref="E154">IF($H154="","",IF(INDEX('Jurnal Umum'!$G$6:$G$2564,$H154-5)="",0,INDEX('Jurnal Umum'!$G$6:$G$2564,$H154-5)))</f>
        <v>882199</v>
      </c>
      <c r="F154" s="100">
        <f t="shared" si="1"/>
        <v>20090525</v>
      </c>
      <c r="G154" s="80"/>
      <c r="H154" s="101">
        <f>IFERROR(MATCH($B$5&amp;"-"&amp;146,'Jurnal Umum'!$J$6:$J$909,0)+5,"")</f>
        <v>677</v>
      </c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96">
        <f t="array" ref="A155">IF($H155="","",INDEX('Jurnal Umum'!$A$6:$A$2564,$H155-5))</f>
        <v>46263</v>
      </c>
      <c r="B155" s="97" t="str">
        <f t="array" ref="B155">IF($H155="","",IFERROR(INDEX('Jurnal Umum'!$C$6:$C$2564,
 MATCH(1,
   ('Jurnal Umum'!$A$6:$A$2564=INDEX('Jurnal Umum'!$A$6:$A$2564,$H155-5)) *
   ('Jurnal Umum'!$C$6:$C$2564=INDEX('Jurnal Umum'!$C$6:$C$2564,$H155-5)) *
   ('Jurnal Umum'!$D$6:$D$2564&lt;&gt;$B$5)
 ,0)),""))</f>
        <v>Pembayaran talangan ongkir tanggal 28</v>
      </c>
      <c r="C155" s="98" t="str">
        <f t="array" ref="C155">IF($H155="","",INDEX('Jurnal Umum'!$B$6:$B$2564,$H155-5))</f>
        <v/>
      </c>
      <c r="D155" s="99">
        <f t="array" ref="D155">IF($H155="","",IF(INDEX('Jurnal Umum'!$F$6:$F$2564,$H155-5)="",0,INDEX('Jurnal Umum'!$F$6:$F$2564,$H155-5)))</f>
        <v>3014300</v>
      </c>
      <c r="E155" s="99">
        <f t="array" ref="E155">IF($H155="","",IF(INDEX('Jurnal Umum'!$G$6:$G$2564,$H155-5)="",0,INDEX('Jurnal Umum'!$G$6:$G$2564,$H155-5)))</f>
        <v>0</v>
      </c>
      <c r="F155" s="100">
        <f t="shared" si="1"/>
        <v>23104825</v>
      </c>
      <c r="G155" s="80"/>
      <c r="H155" s="101">
        <f>IFERROR(MATCH($B$5&amp;"-"&amp;147,'Jurnal Umum'!$J$6:$J$909,0)+5,"")</f>
        <v>678</v>
      </c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96">
        <f t="array" ref="A156">IF($H156="","",INDEX('Jurnal Umum'!$A$6:$A$2564,$H156-5))</f>
        <v>46263</v>
      </c>
      <c r="B156" s="97" t="str">
        <f t="array" ref="B156">IF($H156="","",IFERROR(INDEX('Jurnal Umum'!$C$6:$C$2564,
 MATCH(1,
   ('Jurnal Umum'!$A$6:$A$2564=INDEX('Jurnal Umum'!$A$6:$A$2564,$H156-5)) *
   ('Jurnal Umum'!$C$6:$C$2564=INDEX('Jurnal Umum'!$C$6:$C$2564,$H156-5)) *
   ('Jurnal Umum'!$D$6:$D$2564&lt;&gt;$B$5)
 ,0)),""))</f>
        <v>Pembayaran penjualan tanggal 28</v>
      </c>
      <c r="C156" s="98" t="str">
        <f t="array" ref="C156">IF($H156="","",INDEX('Jurnal Umum'!$B$6:$B$2564,$H156-5))</f>
        <v/>
      </c>
      <c r="D156" s="99">
        <f t="array" ref="D156">IF($H156="","",IF(INDEX('Jurnal Umum'!$F$6:$F$2564,$H156-5)="",0,INDEX('Jurnal Umum'!$F$6:$F$2564,$H156-5)))</f>
        <v>737500</v>
      </c>
      <c r="E156" s="99">
        <f t="array" ref="E156">IF($H156="","",IF(INDEX('Jurnal Umum'!$G$6:$G$2564,$H156-5)="",0,INDEX('Jurnal Umum'!$G$6:$G$2564,$H156-5)))</f>
        <v>0</v>
      </c>
      <c r="F156" s="100">
        <f t="shared" si="1"/>
        <v>23842325</v>
      </c>
      <c r="G156" s="80"/>
      <c r="H156" s="101">
        <f>IFERROR(MATCH($B$5&amp;"-"&amp;148,'Jurnal Umum'!$J$6:$J$909,0)+5,"")</f>
        <v>680</v>
      </c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96">
        <f t="array" ref="A157">IF($H157="","",INDEX('Jurnal Umum'!$A$6:$A$2564,$H157-5))</f>
        <v>46263</v>
      </c>
      <c r="B157" s="97" t="str">
        <f t="array" ref="B157">IF($H157="","",IFERROR(INDEX('Jurnal Umum'!$C$6:$C$2564,
 MATCH(1,
   ('Jurnal Umum'!$A$6:$A$2564=INDEX('Jurnal Umum'!$A$6:$A$2564,$H157-5)) *
   ('Jurnal Umum'!$C$6:$C$2564=INDEX('Jurnal Umum'!$C$6:$C$2564,$H157-5)) *
   ('Jurnal Umum'!$D$6:$D$2564&lt;&gt;$B$5)
 ,0)),""))</f>
        <v>Jajan Karyawan</v>
      </c>
      <c r="C157" s="98" t="str">
        <f t="array" ref="C157">IF($H157="","",INDEX('Jurnal Umum'!$B$6:$B$2564,$H157-5))</f>
        <v/>
      </c>
      <c r="D157" s="99">
        <f t="array" ref="D157">IF($H157="","",IF(INDEX('Jurnal Umum'!$F$6:$F$2564,$H157-5)="",0,INDEX('Jurnal Umum'!$F$6:$F$2564,$H157-5)))</f>
        <v>0</v>
      </c>
      <c r="E157" s="99">
        <f t="array" ref="E157">IF($H157="","",IF(INDEX('Jurnal Umum'!$G$6:$G$2564,$H157-5)="",0,INDEX('Jurnal Umum'!$G$6:$G$2564,$H157-5)))</f>
        <v>35000</v>
      </c>
      <c r="F157" s="100">
        <f t="shared" si="1"/>
        <v>23807325</v>
      </c>
      <c r="G157" s="80"/>
      <c r="H157" s="101">
        <f>IFERROR(MATCH($B$5&amp;"-"&amp;149,'Jurnal Umum'!$J$6:$J$909,0)+5,"")</f>
        <v>683</v>
      </c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96">
        <f t="array" ref="A158">IF($H158="","",INDEX('Jurnal Umum'!$A$6:$A$2564,$H158-5))</f>
        <v>46263</v>
      </c>
      <c r="B158" s="97" t="str">
        <f t="array" ref="B158">IF($H158="","",IFERROR(INDEX('Jurnal Umum'!$C$6:$C$2564,
 MATCH(1,
   ('Jurnal Umum'!$A$6:$A$2564=INDEX('Jurnal Umum'!$A$6:$A$2564,$H158-5)) *
   ('Jurnal Umum'!$C$6:$C$2564=INDEX('Jurnal Umum'!$C$6:$C$2564,$H158-5)) *
   ('Jurnal Umum'!$D$6:$D$2564&lt;&gt;$B$5)
 ,0)),""))</f>
        <v>Pembayaran Penjualan tanggal 29</v>
      </c>
      <c r="C158" s="98" t="str">
        <f t="array" ref="C158">IF($H158="","",INDEX('Jurnal Umum'!$B$6:$B$2564,$H158-5))</f>
        <v/>
      </c>
      <c r="D158" s="99">
        <f t="array" ref="D158">IF($H158="","",IF(INDEX('Jurnal Umum'!$F$6:$F$2564,$H158-5)="",0,INDEX('Jurnal Umum'!$F$6:$F$2564,$H158-5)))</f>
        <v>1666625</v>
      </c>
      <c r="E158" s="99">
        <f t="array" ref="E158">IF($H158="","",IF(INDEX('Jurnal Umum'!$G$6:$G$2564,$H158-5)="",0,INDEX('Jurnal Umum'!$G$6:$G$2564,$H158-5)))</f>
        <v>0</v>
      </c>
      <c r="F158" s="100">
        <f t="shared" si="1"/>
        <v>25473950</v>
      </c>
      <c r="G158" s="80"/>
      <c r="H158" s="101">
        <f>IFERROR(MATCH($B$5&amp;"-"&amp;150,'Jurnal Umum'!$J$6:$J$909,0)+5,"")</f>
        <v>698</v>
      </c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96">
        <f t="array" ref="A159">IF($H159="","",INDEX('Jurnal Umum'!$A$6:$A$2564,$H159-5))</f>
        <v>46263</v>
      </c>
      <c r="B159" s="97" t="str">
        <f t="array" ref="B159">IF($H159="","",IFERROR(INDEX('Jurnal Umum'!$C$6:$C$2564,
 MATCH(1,
   ('Jurnal Umum'!$A$6:$A$2564=INDEX('Jurnal Umum'!$A$6:$A$2564,$H159-5)) *
   ('Jurnal Umum'!$C$6:$C$2564=INDEX('Jurnal Umum'!$C$6:$C$2564,$H159-5)) *
   ('Jurnal Umum'!$D$6:$D$2564&lt;&gt;$B$5)
 ,0)),""))</f>
        <v>Talangan ongkir DMK Cargo tanggal 29</v>
      </c>
      <c r="C159" s="98" t="str">
        <f t="array" ref="C159">IF($H159="","",INDEX('Jurnal Umum'!$B$6:$B$2564,$H159-5))</f>
        <v/>
      </c>
      <c r="D159" s="99">
        <f t="array" ref="D159">IF($H159="","",IF(INDEX('Jurnal Umum'!$F$6:$F$2564,$H159-5)="",0,INDEX('Jurnal Umum'!$F$6:$F$2564,$H159-5)))</f>
        <v>0</v>
      </c>
      <c r="E159" s="99">
        <f t="array" ref="E159">IF($H159="","",IF(INDEX('Jurnal Umum'!$G$6:$G$2564,$H159-5)="",0,INDEX('Jurnal Umum'!$G$6:$G$2564,$H159-5)))</f>
        <v>1086320</v>
      </c>
      <c r="F159" s="100">
        <f t="shared" si="1"/>
        <v>24387630</v>
      </c>
      <c r="G159" s="80"/>
      <c r="H159" s="101">
        <f>IFERROR(MATCH($B$5&amp;"-"&amp;151,'Jurnal Umum'!$J$6:$J$909,0)+5,"")</f>
        <v>701</v>
      </c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96">
        <f t="array" ref="A160">IF($H160="","",INDEX('Jurnal Umum'!$A$6:$A$2564,$H160-5))</f>
        <v>46263</v>
      </c>
      <c r="B160" s="97" t="str">
        <f t="array" ref="B160">IF($H160="","",IFERROR(INDEX('Jurnal Umum'!$C$6:$C$2564,
 MATCH(1,
   ('Jurnal Umum'!$A$6:$A$2564=INDEX('Jurnal Umum'!$A$6:$A$2564,$H160-5)) *
   ('Jurnal Umum'!$C$6:$C$2564=INDEX('Jurnal Umum'!$C$6:$C$2564,$H160-5)) *
   ('Jurnal Umum'!$D$6:$D$2564&lt;&gt;$B$5)
 ,0)),""))</f>
        <v>Markup Ongkir travel 5k</v>
      </c>
      <c r="C160" s="98" t="str">
        <f t="array" ref="C160">IF($H160="","",INDEX('Jurnal Umum'!$B$6:$B$2564,$H160-5))</f>
        <v/>
      </c>
      <c r="D160" s="99">
        <f t="array" ref="D160">IF($H160="","",IF(INDEX('Jurnal Umum'!$F$6:$F$2564,$H160-5)="",0,INDEX('Jurnal Umum'!$F$6:$F$2564,$H160-5)))</f>
        <v>5000</v>
      </c>
      <c r="E160" s="99">
        <f t="array" ref="E160">IF($H160="","",IF(INDEX('Jurnal Umum'!$G$6:$G$2564,$H160-5)="",0,INDEX('Jurnal Umum'!$G$6:$G$2564,$H160-5)))</f>
        <v>0</v>
      </c>
      <c r="F160" s="100">
        <f t="shared" si="1"/>
        <v>24392630</v>
      </c>
      <c r="G160" s="80"/>
      <c r="H160" s="101">
        <f>IFERROR(MATCH($B$5&amp;"-"&amp;152,'Jurnal Umum'!$J$6:$J$909,0)+5,"")</f>
        <v>702</v>
      </c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96">
        <f t="array" ref="A161">IF($H161="","",INDEX('Jurnal Umum'!$A$6:$A$2564,$H161-5))</f>
        <v>46263</v>
      </c>
      <c r="B161" s="97" t="str">
        <f t="array" ref="B161">IF($H161="","",IFERROR(INDEX('Jurnal Umum'!$C$6:$C$2564,
 MATCH(1,
   ('Jurnal Umum'!$A$6:$A$2564=INDEX('Jurnal Umum'!$A$6:$A$2564,$H161-5)) *
   ('Jurnal Umum'!$C$6:$C$2564=INDEX('Jurnal Umum'!$C$6:$C$2564,$H161-5)) *
   ('Jurnal Umum'!$D$6:$D$2564&lt;&gt;$B$5)
 ,0)),""))</f>
        <v>Tarik Tunai untuk kas operasional</v>
      </c>
      <c r="C161" s="98" t="str">
        <f t="array" ref="C161">IF($H161="","",INDEX('Jurnal Umum'!$B$6:$B$2564,$H161-5))</f>
        <v/>
      </c>
      <c r="D161" s="99">
        <f t="array" ref="D161">IF($H161="","",IF(INDEX('Jurnal Umum'!$F$6:$F$2564,$H161-5)="",0,INDEX('Jurnal Umum'!$F$6:$F$2564,$H161-5)))</f>
        <v>0</v>
      </c>
      <c r="E161" s="99">
        <f t="array" ref="E161">IF($H161="","",IF(INDEX('Jurnal Umum'!$G$6:$G$2564,$H161-5)="",0,INDEX('Jurnal Umum'!$G$6:$G$2564,$H161-5)))</f>
        <v>831000</v>
      </c>
      <c r="F161" s="100">
        <f t="shared" si="1"/>
        <v>23561630</v>
      </c>
      <c r="G161" s="80"/>
      <c r="H161" s="101">
        <f>IFERROR(MATCH($B$5&amp;"-"&amp;153,'Jurnal Umum'!$J$6:$J$909,0)+5,"")</f>
        <v>709</v>
      </c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96">
        <f t="array" ref="A162">IF($H162="","",INDEX('Jurnal Umum'!$A$6:$A$2564,$H162-5))</f>
        <v>46263</v>
      </c>
      <c r="B162" s="97" t="str">
        <f t="array" ref="B162">IF($H162="","",IFERROR(INDEX('Jurnal Umum'!$C$6:$C$2564,
 MATCH(1,
   ('Jurnal Umum'!$A$6:$A$2564=INDEX('Jurnal Umum'!$A$6:$A$2564,$H162-5)) *
   ('Jurnal Umum'!$C$6:$C$2564=INDEX('Jurnal Umum'!$C$6:$C$2564,$H162-5)) *
   ('Jurnal Umum'!$D$6:$D$2564&lt;&gt;$B$5)
 ,0)),""))</f>
        <v>Pembayaran talangan ongkir DMK tanggal 29</v>
      </c>
      <c r="C162" s="98" t="str">
        <f t="array" ref="C162">IF($H162="","",INDEX('Jurnal Umum'!$B$6:$B$2564,$H162-5))</f>
        <v/>
      </c>
      <c r="D162" s="99">
        <f t="array" ref="D162">IF($H162="","",IF(INDEX('Jurnal Umum'!$F$6:$F$2564,$H162-5)="",0,INDEX('Jurnal Umum'!$F$6:$F$2564,$H162-5)))</f>
        <v>1156320</v>
      </c>
      <c r="E162" s="99">
        <f t="array" ref="E162">IF($H162="","",IF(INDEX('Jurnal Umum'!$G$6:$G$2564,$H162-5)="",0,INDEX('Jurnal Umum'!$G$6:$G$2564,$H162-5)))</f>
        <v>0</v>
      </c>
      <c r="F162" s="100">
        <f t="shared" si="1"/>
        <v>24717950</v>
      </c>
      <c r="G162" s="80"/>
      <c r="H162" s="101">
        <f>IFERROR(MATCH($B$5&amp;"-"&amp;154,'Jurnal Umum'!$J$6:$J$909,0)+5,"")</f>
        <v>712</v>
      </c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96">
        <f t="array" ref="A163">IF($H163="","",INDEX('Jurnal Umum'!$A$6:$A$2564,$H163-5))</f>
        <v>46265</v>
      </c>
      <c r="B163" s="97" t="str">
        <f t="array" ref="B163">IF($H163="","",IFERROR(INDEX('Jurnal Umum'!$C$6:$C$2564,
 MATCH(1,
   ('Jurnal Umum'!$A$6:$A$2564=INDEX('Jurnal Umum'!$A$6:$A$2564,$H163-5)) *
   ('Jurnal Umum'!$C$6:$C$2564=INDEX('Jurnal Umum'!$C$6:$C$2564,$H163-5)) *
   ('Jurnal Umum'!$D$6:$D$2564&lt;&gt;$B$5)
 ,0)),""))</f>
        <v>Pembayaran Bunga di Bunga Bromo tanggal 19</v>
      </c>
      <c r="C163" s="98" t="str">
        <f t="array" ref="C163">IF($H163="","",INDEX('Jurnal Umum'!$B$6:$B$2564,$H163-5))</f>
        <v/>
      </c>
      <c r="D163" s="99">
        <f t="array" ref="D163">IF($H163="","",IF(INDEX('Jurnal Umum'!$F$6:$F$2564,$H163-5)="",0,INDEX('Jurnal Umum'!$F$6:$F$2564,$H163-5)))</f>
        <v>0</v>
      </c>
      <c r="E163" s="99">
        <f t="array" ref="E163">IF($H163="","",IF(INDEX('Jurnal Umum'!$G$6:$G$2564,$H163-5)="",0,INDEX('Jurnal Umum'!$G$6:$G$2564,$H163-5)))</f>
        <v>597000</v>
      </c>
      <c r="F163" s="100">
        <f t="shared" si="1"/>
        <v>24120950</v>
      </c>
      <c r="G163" s="80"/>
      <c r="H163" s="101">
        <f>IFERROR(MATCH($B$5&amp;"-"&amp;155,'Jurnal Umum'!$J$6:$J$909,0)+5,"")</f>
        <v>721</v>
      </c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96">
        <f t="array" ref="A164">IF($H164="","",INDEX('Jurnal Umum'!$A$6:$A$2564,$H164-5))</f>
        <v>46265</v>
      </c>
      <c r="B164" s="97" t="str">
        <f t="array" ref="B164">IF($H164="","",IFERROR(INDEX('Jurnal Umum'!$C$6:$C$2564,
 MATCH(1,
   ('Jurnal Umum'!$A$6:$A$2564=INDEX('Jurnal Umum'!$A$6:$A$2564,$H164-5)) *
   ('Jurnal Umum'!$C$6:$C$2564=INDEX('Jurnal Umum'!$C$6:$C$2564,$H164-5)) *
   ('Jurnal Umum'!$D$6:$D$2564&lt;&gt;$B$5)
 ,0)),""))</f>
        <v>Pembelian Bunga di Vendor - Mba Yeti</v>
      </c>
      <c r="C164" s="98" t="str">
        <f t="array" ref="C164">IF($H164="","",INDEX('Jurnal Umum'!$B$6:$B$2564,$H164-5))</f>
        <v/>
      </c>
      <c r="D164" s="99">
        <f t="array" ref="D164">IF($H164="","",IF(INDEX('Jurnal Umum'!$F$6:$F$2564,$H164-5)="",0,INDEX('Jurnal Umum'!$F$6:$F$2564,$H164-5)))</f>
        <v>0</v>
      </c>
      <c r="E164" s="99">
        <f t="array" ref="E164">IF($H164="","",IF(INDEX('Jurnal Umum'!$G$6:$G$2564,$H164-5)="",0,INDEX('Jurnal Umum'!$G$6:$G$2564,$H164-5)))</f>
        <v>355000</v>
      </c>
      <c r="F164" s="100">
        <f t="shared" si="1"/>
        <v>23765950</v>
      </c>
      <c r="G164" s="80"/>
      <c r="H164" s="101">
        <f>IFERROR(MATCH($B$5&amp;"-"&amp;156,'Jurnal Umum'!$J$6:$J$909,0)+5,"")</f>
        <v>723</v>
      </c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96">
        <f t="array" ref="A165">IF($H165="","",INDEX('Jurnal Umum'!$A$6:$A$2564,$H165-5))</f>
        <v>46265</v>
      </c>
      <c r="B165" s="97" t="str">
        <f t="array" ref="B165">IF($H165="","",IFERROR(INDEX('Jurnal Umum'!$C$6:$C$2564,
 MATCH(1,
   ('Jurnal Umum'!$A$6:$A$2564=INDEX('Jurnal Umum'!$A$6:$A$2564,$H165-5)) *
   ('Jurnal Umum'!$C$6:$C$2564=INDEX('Jurnal Umum'!$C$6:$C$2564,$H165-5)) *
   ('Jurnal Umum'!$D$6:$D$2564&lt;&gt;$B$5)
 ,0)),""))</f>
        <v>Pembelian Bunga di ProFlorist</v>
      </c>
      <c r="C165" s="98" t="str">
        <f t="array" ref="C165">IF($H165="","",INDEX('Jurnal Umum'!$B$6:$B$2564,$H165-5))</f>
        <v/>
      </c>
      <c r="D165" s="99">
        <f t="array" ref="D165">IF($H165="","",IF(INDEX('Jurnal Umum'!$F$6:$F$2564,$H165-5)="",0,INDEX('Jurnal Umum'!$F$6:$F$2564,$H165-5)))</f>
        <v>0</v>
      </c>
      <c r="E165" s="99">
        <f t="array" ref="E165">IF($H165="","",IF(INDEX('Jurnal Umum'!$G$6:$G$2564,$H165-5)="",0,INDEX('Jurnal Umum'!$G$6:$G$2564,$H165-5)))</f>
        <v>78000</v>
      </c>
      <c r="F165" s="100">
        <f t="shared" si="1"/>
        <v>23687950</v>
      </c>
      <c r="G165" s="80"/>
      <c r="H165" s="101">
        <f>IFERROR(MATCH($B$5&amp;"-"&amp;157,'Jurnal Umum'!$J$6:$J$909,0)+5,"")</f>
        <v>725</v>
      </c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96">
        <f t="array" ref="A166">IF($H166="","",INDEX('Jurnal Umum'!$A$6:$A$2564,$H166-5))</f>
        <v>46265</v>
      </c>
      <c r="B166" s="97" t="str">
        <f t="array" ref="B166">IF($H166="","",IFERROR(INDEX('Jurnal Umum'!$C$6:$C$2564,
 MATCH(1,
   ('Jurnal Umum'!$A$6:$A$2564=INDEX('Jurnal Umum'!$A$6:$A$2564,$H166-5)) *
   ('Jurnal Umum'!$C$6:$C$2564=INDEX('Jurnal Umum'!$C$6:$C$2564,$H166-5)) *
   ('Jurnal Umum'!$D$6:$D$2564&lt;&gt;$B$5)
 ,0)),""))</f>
        <v>Pembelian Bunga di WKF</v>
      </c>
      <c r="C166" s="98" t="str">
        <f t="array" ref="C166">IF($H166="","",INDEX('Jurnal Umum'!$B$6:$B$2564,$H166-5))</f>
        <v>BK-260831-001</v>
      </c>
      <c r="D166" s="99">
        <f t="array" ref="D166">IF($H166="","",IF(INDEX('Jurnal Umum'!$F$6:$F$2564,$H166-5)="",0,INDEX('Jurnal Umum'!$F$6:$F$2564,$H166-5)))</f>
        <v>0</v>
      </c>
      <c r="E166" s="99">
        <f t="array" ref="E166">IF($H166="","",IF(INDEX('Jurnal Umum'!$G$6:$G$2564,$H166-5)="",0,INDEX('Jurnal Umum'!$G$6:$G$2564,$H166-5)))</f>
        <v>4520000</v>
      </c>
      <c r="F166" s="100">
        <f t="shared" si="1"/>
        <v>19167950</v>
      </c>
      <c r="G166" s="80"/>
      <c r="H166" s="101">
        <f>IFERROR(MATCH($B$5&amp;"-"&amp;158,'Jurnal Umum'!$J$6:$J$909,0)+5,"")</f>
        <v>727</v>
      </c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96">
        <f t="array" ref="A167">IF($H167="","",INDEX('Jurnal Umum'!$A$6:$A$2564,$H167-5))</f>
        <v>46265</v>
      </c>
      <c r="B167" s="97" t="str">
        <f t="array" ref="B167">IF($H167="","",IFERROR(INDEX('Jurnal Umum'!$C$6:$C$2564,
 MATCH(1,
   ('Jurnal Umum'!$A$6:$A$2564=INDEX('Jurnal Umum'!$A$6:$A$2564,$H167-5)) *
   ('Jurnal Umum'!$C$6:$C$2564=INDEX('Jurnal Umum'!$C$6:$C$2564,$H167-5)) *
   ('Jurnal Umum'!$D$6:$D$2564&lt;&gt;$B$5)
 ,0)),""))</f>
        <v>Pembelian triplek dan Besi</v>
      </c>
      <c r="C167" s="98" t="str">
        <f t="array" ref="C167">IF($H167="","",INDEX('Jurnal Umum'!$B$6:$B$2564,$H167-5))</f>
        <v/>
      </c>
      <c r="D167" s="99">
        <f t="array" ref="D167">IF($H167="","",IF(INDEX('Jurnal Umum'!$F$6:$F$2564,$H167-5)="",0,INDEX('Jurnal Umum'!$F$6:$F$2564,$H167-5)))</f>
        <v>0</v>
      </c>
      <c r="E167" s="99">
        <f t="array" ref="E167">IF($H167="","",IF(INDEX('Jurnal Umum'!$G$6:$G$2564,$H167-5)="",0,INDEX('Jurnal Umum'!$G$6:$G$2564,$H167-5)))</f>
        <v>525000</v>
      </c>
      <c r="F167" s="100">
        <f t="shared" si="1"/>
        <v>18642950</v>
      </c>
      <c r="G167" s="80"/>
      <c r="H167" s="101">
        <f>IFERROR(MATCH($B$5&amp;"-"&amp;159,'Jurnal Umum'!$J$6:$J$909,0)+5,"")</f>
        <v>729</v>
      </c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96">
        <f t="array" ref="A168">IF($H168="","",INDEX('Jurnal Umum'!$A$6:$A$2564,$H168-5))</f>
        <v>46265</v>
      </c>
      <c r="B168" s="97" t="str">
        <f t="array" ref="B168">IF($H168="","",IFERROR(INDEX('Jurnal Umum'!$C$6:$C$2564,
 MATCH(1,
   ('Jurnal Umum'!$A$6:$A$2564=INDEX('Jurnal Umum'!$A$6:$A$2564,$H168-5)) *
   ('Jurnal Umum'!$C$6:$C$2564=INDEX('Jurnal Umum'!$C$6:$C$2564,$H168-5)) *
   ('Jurnal Umum'!$D$6:$D$2564&lt;&gt;$B$5)
 ,0)),""))</f>
        <v>Pembelian Bunga Pikok</v>
      </c>
      <c r="C168" s="98" t="str">
        <f t="array" ref="C168">IF($H168="","",INDEX('Jurnal Umum'!$B$6:$B$2564,$H168-5))</f>
        <v/>
      </c>
      <c r="D168" s="99">
        <f t="array" ref="D168">IF($H168="","",IF(INDEX('Jurnal Umum'!$F$6:$F$2564,$H168-5)="",0,INDEX('Jurnal Umum'!$F$6:$F$2564,$H168-5)))</f>
        <v>0</v>
      </c>
      <c r="E168" s="99">
        <f t="array" ref="E168">IF($H168="","",IF(INDEX('Jurnal Umum'!$G$6:$G$2564,$H168-5)="",0,INDEX('Jurnal Umum'!$G$6:$G$2564,$H168-5)))</f>
        <v>300000</v>
      </c>
      <c r="F168" s="100">
        <f t="shared" si="1"/>
        <v>18342950</v>
      </c>
      <c r="G168" s="80"/>
      <c r="H168" s="101">
        <f>IFERROR(MATCH($B$5&amp;"-"&amp;160,'Jurnal Umum'!$J$6:$J$909,0)+5,"")</f>
        <v>731</v>
      </c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96">
        <f t="array" ref="A169">IF($H169="","",INDEX('Jurnal Umum'!$A$6:$A$2564,$H169-5))</f>
        <v>46265</v>
      </c>
      <c r="B169" s="97" t="str">
        <f t="array" ref="B169">IF($H169="","",IFERROR(INDEX('Jurnal Umum'!$C$6:$C$2564,
 MATCH(1,
   ('Jurnal Umum'!$A$6:$A$2564=INDEX('Jurnal Umum'!$A$6:$A$2564,$H169-5)) *
   ('Jurnal Umum'!$C$6:$C$2564=INDEX('Jurnal Umum'!$C$6:$C$2564,$H169-5)) *
   ('Jurnal Umum'!$D$6:$D$2564&lt;&gt;$B$5)
 ,0)),""))</f>
        <v>Pembayaran Gaji Karyawan - Oilivia</v>
      </c>
      <c r="C169" s="98" t="str">
        <f t="array" ref="C169">IF($H169="","",INDEX('Jurnal Umum'!$B$6:$B$2564,$H169-5))</f>
        <v/>
      </c>
      <c r="D169" s="99">
        <f t="array" ref="D169">IF($H169="","",IF(INDEX('Jurnal Umum'!$F$6:$F$2564,$H169-5)="",0,INDEX('Jurnal Umum'!$F$6:$F$2564,$H169-5)))</f>
        <v>0</v>
      </c>
      <c r="E169" s="99">
        <f t="array" ref="E169">IF($H169="","",IF(INDEX('Jurnal Umum'!$G$6:$G$2564,$H169-5)="",0,INDEX('Jurnal Umum'!$G$6:$G$2564,$H169-5)))</f>
        <v>2067000</v>
      </c>
      <c r="F169" s="100">
        <f t="shared" si="1"/>
        <v>16275950</v>
      </c>
      <c r="G169" s="80"/>
      <c r="H169" s="101">
        <f>IFERROR(MATCH($B$5&amp;"-"&amp;161,'Jurnal Umum'!$J$6:$J$909,0)+5,"")</f>
        <v>733</v>
      </c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96">
        <f t="array" ref="A170">IF($H170="","",INDEX('Jurnal Umum'!$A$6:$A$2564,$H170-5))</f>
        <v>46265</v>
      </c>
      <c r="B170" s="97" t="str">
        <f t="array" ref="B170">IF($H170="","",IFERROR(INDEX('Jurnal Umum'!$C$6:$C$2564,
 MATCH(1,
   ('Jurnal Umum'!$A$6:$A$2564=INDEX('Jurnal Umum'!$A$6:$A$2564,$H170-5)) *
   ('Jurnal Umum'!$C$6:$C$2564=INDEX('Jurnal Umum'!$C$6:$C$2564,$H170-5)) *
   ('Jurnal Umum'!$D$6:$D$2564&lt;&gt;$B$5)
 ,0)),""))</f>
        <v>Pelunasan Sisa Hutang di bu Yul</v>
      </c>
      <c r="C170" s="98" t="str">
        <f t="array" ref="C170">IF($H170="","",INDEX('Jurnal Umum'!$B$6:$B$2564,$H170-5))</f>
        <v/>
      </c>
      <c r="D170" s="99">
        <f t="array" ref="D170">IF($H170="","",IF(INDEX('Jurnal Umum'!$F$6:$F$2564,$H170-5)="",0,INDEX('Jurnal Umum'!$F$6:$F$2564,$H170-5)))</f>
        <v>0</v>
      </c>
      <c r="E170" s="99">
        <f t="array" ref="E170">IF($H170="","",IF(INDEX('Jurnal Umum'!$G$6:$G$2564,$H170-5)="",0,INDEX('Jurnal Umum'!$G$6:$G$2564,$H170-5)))</f>
        <v>1273000</v>
      </c>
      <c r="F170" s="100">
        <f t="shared" si="1"/>
        <v>15002950</v>
      </c>
      <c r="G170" s="80"/>
      <c r="H170" s="101">
        <f>IFERROR(MATCH($B$5&amp;"-"&amp;162,'Jurnal Umum'!$J$6:$J$909,0)+5,"")</f>
        <v>747</v>
      </c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96">
        <f t="array" ref="A171">IF($H171="","",INDEX('Jurnal Umum'!$A$6:$A$2564,$H171-5))</f>
        <v>46265</v>
      </c>
      <c r="B171" s="97" t="str">
        <f t="array" ref="B171">IF($H171="","",IFERROR(INDEX('Jurnal Umum'!$C$6:$C$2564,
 MATCH(1,
   ('Jurnal Umum'!$A$6:$A$2564=INDEX('Jurnal Umum'!$A$6:$A$2564,$H171-5)) *
   ('Jurnal Umum'!$C$6:$C$2564=INDEX('Jurnal Umum'!$C$6:$C$2564,$H171-5)) *
   ('Jurnal Umum'!$D$6:$D$2564&lt;&gt;$B$5)
 ,0)),""))</f>
        <v>Pembayaran Gaji Mas Bintang</v>
      </c>
      <c r="C171" s="98" t="str">
        <f t="array" ref="C171">IF($H171="","",INDEX('Jurnal Umum'!$B$6:$B$2564,$H171-5))</f>
        <v/>
      </c>
      <c r="D171" s="99">
        <f t="array" ref="D171">IF($H171="","",IF(INDEX('Jurnal Umum'!$F$6:$F$2564,$H171-5)="",0,INDEX('Jurnal Umum'!$F$6:$F$2564,$H171-5)))</f>
        <v>0</v>
      </c>
      <c r="E171" s="99">
        <f t="array" ref="E171">IF($H171="","",IF(INDEX('Jurnal Umum'!$G$6:$G$2564,$H171-5)="",0,INDEX('Jurnal Umum'!$G$6:$G$2564,$H171-5)))</f>
        <v>4000000</v>
      </c>
      <c r="F171" s="100">
        <f t="shared" si="1"/>
        <v>11002950</v>
      </c>
      <c r="G171" s="80"/>
      <c r="H171" s="101">
        <f>IFERROR(MATCH($B$5&amp;"-"&amp;163,'Jurnal Umum'!$J$6:$J$909,0)+5,"")</f>
        <v>759</v>
      </c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96">
        <f t="array" ref="A172">IF($H172="","",INDEX('Jurnal Umum'!$A$6:$A$2564,$H172-5))</f>
        <v>46265</v>
      </c>
      <c r="B172" s="97" t="str">
        <f t="array" ref="B172">IF($H172="","",IFERROR(INDEX('Jurnal Umum'!$C$6:$C$2564,
 MATCH(1,
   ('Jurnal Umum'!$A$6:$A$2564=INDEX('Jurnal Umum'!$A$6:$A$2564,$H172-5)) *
   ('Jurnal Umum'!$C$6:$C$2564=INDEX('Jurnal Umum'!$C$6:$C$2564,$H172-5)) *
   ('Jurnal Umum'!$D$6:$D$2564&lt;&gt;$B$5)
 ,0)),""))</f>
        <v>Pembayaran Gaji Melisa harian</v>
      </c>
      <c r="C172" s="98" t="str">
        <f t="array" ref="C172">IF($H172="","",INDEX('Jurnal Umum'!$B$6:$B$2564,$H172-5))</f>
        <v/>
      </c>
      <c r="D172" s="99">
        <f t="array" ref="D172">IF($H172="","",IF(INDEX('Jurnal Umum'!$F$6:$F$2564,$H172-5)="",0,INDEX('Jurnal Umum'!$F$6:$F$2564,$H172-5)))</f>
        <v>0</v>
      </c>
      <c r="E172" s="99">
        <f t="array" ref="E172">IF($H172="","",IF(INDEX('Jurnal Umum'!$G$6:$G$2564,$H172-5)="",0,INDEX('Jurnal Umum'!$G$6:$G$2564,$H172-5)))</f>
        <v>150000</v>
      </c>
      <c r="F172" s="100">
        <f t="shared" si="1"/>
        <v>10852950</v>
      </c>
      <c r="G172" s="80"/>
      <c r="H172" s="101">
        <f>IFERROR(MATCH($B$5&amp;"-"&amp;164,'Jurnal Umum'!$J$6:$J$909,0)+5,"")</f>
        <v>761</v>
      </c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96">
        <f t="array" ref="A173">IF($H173="","",INDEX('Jurnal Umum'!$A$6:$A$2564,$H173-5))</f>
        <v>46265</v>
      </c>
      <c r="B173" s="97" t="str">
        <f t="array" ref="B173">IF($H173="","",IFERROR(INDEX('Jurnal Umum'!$C$6:$C$2564,
 MATCH(1,
   ('Jurnal Umum'!$A$6:$A$2564=INDEX('Jurnal Umum'!$A$6:$A$2564,$H173-5)) *
   ('Jurnal Umum'!$C$6:$C$2564=INDEX('Jurnal Umum'!$C$6:$C$2564,$H173-5)) *
   ('Jurnal Umum'!$D$6:$D$2564&lt;&gt;$B$5)
 ,0)),""))</f>
        <v>Pembayaran Gaji Mas Sandi Tanggal 1</v>
      </c>
      <c r="C173" s="98" t="str">
        <f t="array" ref="C173">IF($H173="","",INDEX('Jurnal Umum'!$B$6:$B$2564,$H173-5))</f>
        <v/>
      </c>
      <c r="D173" s="99">
        <f t="array" ref="D173">IF($H173="","",IF(INDEX('Jurnal Umum'!$F$6:$F$2564,$H173-5)="",0,INDEX('Jurnal Umum'!$F$6:$F$2564,$H173-5)))</f>
        <v>0</v>
      </c>
      <c r="E173" s="99">
        <f t="array" ref="E173">IF($H173="","",IF(INDEX('Jurnal Umum'!$G$6:$G$2564,$H173-5)="",0,INDEX('Jurnal Umum'!$G$6:$G$2564,$H173-5)))</f>
        <v>500000</v>
      </c>
      <c r="F173" s="100">
        <f t="shared" si="1"/>
        <v>10352950</v>
      </c>
      <c r="G173" s="80"/>
      <c r="H173" s="101">
        <f>IFERROR(MATCH($B$5&amp;"-"&amp;165,'Jurnal Umum'!$J$6:$J$909,0)+5,"")</f>
        <v>763</v>
      </c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96">
        <f t="array" ref="A174">IF($H174="","",INDEX('Jurnal Umum'!$A$6:$A$2564,$H174-5))</f>
        <v>46265</v>
      </c>
      <c r="B174" s="97" t="str">
        <f t="array" ref="B174">IF($H174="","",IFERROR(INDEX('Jurnal Umum'!$C$6:$C$2564,
 MATCH(1,
   ('Jurnal Umum'!$A$6:$A$2564=INDEX('Jurnal Umum'!$A$6:$A$2564,$H174-5)) *
   ('Jurnal Umum'!$C$6:$C$2564=INDEX('Jurnal Umum'!$C$6:$C$2564,$H174-5)) *
   ('Jurnal Umum'!$D$6:$D$2564&lt;&gt;$B$5)
 ,0)),""))</f>
        <v>Pelunasan piutang Mba Eka tanggal 06</v>
      </c>
      <c r="C174" s="98" t="str">
        <f t="array" ref="C174">IF($H174="","",INDEX('Jurnal Umum'!$B$6:$B$2564,$H174-5))</f>
        <v/>
      </c>
      <c r="D174" s="99">
        <f t="array" ref="D174">IF($H174="","",IF(INDEX('Jurnal Umum'!$F$6:$F$2564,$H174-5)="",0,INDEX('Jurnal Umum'!$F$6:$F$2564,$H174-5)))</f>
        <v>224000</v>
      </c>
      <c r="E174" s="99">
        <f t="array" ref="E174">IF($H174="","",IF(INDEX('Jurnal Umum'!$G$6:$G$2564,$H174-5)="",0,INDEX('Jurnal Umum'!$G$6:$G$2564,$H174-5)))</f>
        <v>0</v>
      </c>
      <c r="F174" s="100">
        <f t="shared" si="1"/>
        <v>10576950</v>
      </c>
      <c r="G174" s="80"/>
      <c r="H174" s="101">
        <f>IFERROR(MATCH($B$5&amp;"-"&amp;166,'Jurnal Umum'!$J$6:$J$909,0)+5,"")</f>
        <v>764</v>
      </c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96">
        <f t="array" ref="A175">IF($H175="","",INDEX('Jurnal Umum'!$A$6:$A$2564,$H175-5))</f>
        <v>46265</v>
      </c>
      <c r="B175" s="97" t="str">
        <f t="array" ref="B175">IF($H175="","",IFERROR(INDEX('Jurnal Umum'!$C$6:$C$2564,
 MATCH(1,
   ('Jurnal Umum'!$A$6:$A$2564=INDEX('Jurnal Umum'!$A$6:$A$2564,$H175-5)) *
   ('Jurnal Umum'!$C$6:$C$2564=INDEX('Jurnal Umum'!$C$6:$C$2564,$H175-5)) *
   ('Jurnal Umum'!$D$6:$D$2564&lt;&gt;$B$5)
 ,0)),""))</f>
        <v>Pelunasan Penjualan tanggal 31</v>
      </c>
      <c r="C175" s="98" t="str">
        <f t="array" ref="C175">IF($H175="","",INDEX('Jurnal Umum'!$B$6:$B$2564,$H175-5))</f>
        <v/>
      </c>
      <c r="D175" s="99">
        <f t="array" ref="D175">IF($H175="","",IF(INDEX('Jurnal Umum'!$F$6:$F$2564,$H175-5)="",0,INDEX('Jurnal Umum'!$F$6:$F$2564,$H175-5)))</f>
        <v>1435000</v>
      </c>
      <c r="E175" s="99">
        <f t="array" ref="E175">IF($H175="","",IF(INDEX('Jurnal Umum'!$G$6:$G$2564,$H175-5)="",0,INDEX('Jurnal Umum'!$G$6:$G$2564,$H175-5)))</f>
        <v>0</v>
      </c>
      <c r="F175" s="100">
        <f t="shared" si="1"/>
        <v>12011950</v>
      </c>
      <c r="G175" s="80"/>
      <c r="H175" s="101">
        <f>IFERROR(MATCH($B$5&amp;"-"&amp;167,'Jurnal Umum'!$J$6:$J$909,0)+5,"")</f>
        <v>766</v>
      </c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96">
        <f t="array" ref="A176">IF($H176="","",INDEX('Jurnal Umum'!$A$6:$A$2564,$H176-5))</f>
        <v>46265</v>
      </c>
      <c r="B176" s="97" t="str">
        <f t="array" ref="B176">IF($H176="","",IFERROR(INDEX('Jurnal Umum'!$C$6:$C$2564,
 MATCH(1,
   ('Jurnal Umum'!$A$6:$A$2564=INDEX('Jurnal Umum'!$A$6:$A$2564,$H176-5)) *
   ('Jurnal Umum'!$C$6:$C$2564=INDEX('Jurnal Umum'!$C$6:$C$2564,$H176-5)) *
   ('Jurnal Umum'!$D$6:$D$2564&lt;&gt;$B$5)
 ,0)),""))</f>
        <v>Pengembalian dana bibit om toha</v>
      </c>
      <c r="C176" s="98" t="str">
        <f t="array" ref="C176">IF($H176="","",INDEX('Jurnal Umum'!$B$6:$B$2564,$H176-5))</f>
        <v/>
      </c>
      <c r="D176" s="99">
        <f t="array" ref="D176">IF($H176="","",IF(INDEX('Jurnal Umum'!$F$6:$F$2564,$H176-5)="",0,INDEX('Jurnal Umum'!$F$6:$F$2564,$H176-5)))</f>
        <v>2100000</v>
      </c>
      <c r="E176" s="99">
        <f t="array" ref="E176">IF($H176="","",IF(INDEX('Jurnal Umum'!$G$6:$G$2564,$H176-5)="",0,INDEX('Jurnal Umum'!$G$6:$G$2564,$H176-5)))</f>
        <v>0</v>
      </c>
      <c r="F176" s="100">
        <f t="shared" si="1"/>
        <v>14111950</v>
      </c>
      <c r="G176" s="80"/>
      <c r="H176" s="101">
        <f>IFERROR(MATCH($B$5&amp;"-"&amp;168,'Jurnal Umum'!$J$6:$J$909,0)+5,"")</f>
        <v>768</v>
      </c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96">
        <f t="array" ref="A177">IF($H177="","",INDEX('Jurnal Umum'!$A$6:$A$2564,$H177-5))</f>
        <v>46265</v>
      </c>
      <c r="B177" s="97" t="str">
        <f t="array" ref="B177">IF($H177="","",IFERROR(INDEX('Jurnal Umum'!$C$6:$C$2564,
 MATCH(1,
   ('Jurnal Umum'!$A$6:$A$2564=INDEX('Jurnal Umum'!$A$6:$A$2564,$H177-5)) *
   ('Jurnal Umum'!$C$6:$C$2564=INDEX('Jurnal Umum'!$C$6:$C$2564,$H177-5)) *
   ('Jurnal Umum'!$D$6:$D$2564&lt;&gt;$B$5)
 ,0)),""))</f>
        <v>Pelunasan pembayaran penjualan bunga Mas Abizar tgl 29</v>
      </c>
      <c r="C177" s="98" t="str">
        <f t="array" ref="C177">IF($H177="","",INDEX('Jurnal Umum'!$B$6:$B$2564,$H177-5))</f>
        <v/>
      </c>
      <c r="D177" s="99">
        <f t="array" ref="D177">IF($H177="","",IF(INDEX('Jurnal Umum'!$F$6:$F$2564,$H177-5)="",0,INDEX('Jurnal Umum'!$F$6:$F$2564,$H177-5)))</f>
        <v>198000</v>
      </c>
      <c r="E177" s="99">
        <f t="array" ref="E177">IF($H177="","",IF(INDEX('Jurnal Umum'!$G$6:$G$2564,$H177-5)="",0,INDEX('Jurnal Umum'!$G$6:$G$2564,$H177-5)))</f>
        <v>0</v>
      </c>
      <c r="F177" s="100">
        <f t="shared" si="1"/>
        <v>14309950</v>
      </c>
      <c r="G177" s="80"/>
      <c r="H177" s="101">
        <f>IFERROR(MATCH($B$5&amp;"-"&amp;169,'Jurnal Umum'!$J$6:$J$909,0)+5,"")</f>
        <v>770</v>
      </c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96">
        <f t="array" ref="A178">IF($H178="","",INDEX('Jurnal Umum'!$A$6:$A$2564,$H178-5))</f>
        <v>46265</v>
      </c>
      <c r="B178" s="97" t="str">
        <f t="array" ref="B178">IF($H178="","",IFERROR(INDEX('Jurnal Umum'!$C$6:$C$2564,
 MATCH(1,
   ('Jurnal Umum'!$A$6:$A$2564=INDEX('Jurnal Umum'!$A$6:$A$2564,$H178-5)) *
   ('Jurnal Umum'!$C$6:$C$2564=INDEX('Jurnal Umum'!$C$6:$C$2564,$H178-5)) *
   ('Jurnal Umum'!$D$6:$D$2564&lt;&gt;$B$5)
 ,0)),""))</f>
        <v>Pengembalian uang paket dan pinjaman Mas Bintang</v>
      </c>
      <c r="C178" s="98" t="str">
        <f t="array" ref="C178">IF($H178="","",INDEX('Jurnal Umum'!$B$6:$B$2564,$H178-5))</f>
        <v/>
      </c>
      <c r="D178" s="99">
        <f t="array" ref="D178">IF($H178="","",IF(INDEX('Jurnal Umum'!$F$6:$F$2564,$H178-5)="",0,INDEX('Jurnal Umum'!$F$6:$F$2564,$H178-5)))</f>
        <v>181000</v>
      </c>
      <c r="E178" s="99">
        <f t="array" ref="E178">IF($H178="","",IF(INDEX('Jurnal Umum'!$G$6:$G$2564,$H178-5)="",0,INDEX('Jurnal Umum'!$G$6:$G$2564,$H178-5)))</f>
        <v>0</v>
      </c>
      <c r="F178" s="100">
        <f t="shared" si="1"/>
        <v>14490950</v>
      </c>
      <c r="G178" s="80"/>
      <c r="H178" s="101">
        <f>IFERROR(MATCH($B$5&amp;"-"&amp;170,'Jurnal Umum'!$J$6:$J$909,0)+5,"")</f>
        <v>772</v>
      </c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96">
        <f t="array" ref="A179">IF($H179="","",INDEX('Jurnal Umum'!$A$6:$A$2564,$H179-5))</f>
        <v>46265</v>
      </c>
      <c r="B179" s="97" t="str">
        <f t="array" ref="B179">IF($H179="","",IFERROR(INDEX('Jurnal Umum'!$C$6:$C$2564,
 MATCH(1,
   ('Jurnal Umum'!$A$6:$A$2564=INDEX('Jurnal Umum'!$A$6:$A$2564,$H179-5)) *
   ('Jurnal Umum'!$C$6:$C$2564=INDEX('Jurnal Umum'!$C$6:$C$2564,$H179-5)) *
   ('Jurnal Umum'!$D$6:$D$2564&lt;&gt;$B$5)
 ,0)),""))</f>
        <v>Uang Makan Karyawan</v>
      </c>
      <c r="C179" s="98" t="str">
        <f t="array" ref="C179">IF($H179="","",INDEX('Jurnal Umum'!$B$6:$B$2564,$H179-5))</f>
        <v/>
      </c>
      <c r="D179" s="99">
        <f t="array" ref="D179">IF($H179="","",IF(INDEX('Jurnal Umum'!$F$6:$F$2564,$H179-5)="",0,INDEX('Jurnal Umum'!$F$6:$F$2564,$H179-5)))</f>
        <v>0</v>
      </c>
      <c r="E179" s="99">
        <f t="array" ref="E179">IF($H179="","",IF(INDEX('Jurnal Umum'!$G$6:$G$2564,$H179-5)="",0,INDEX('Jurnal Umum'!$G$6:$G$2564,$H179-5)))</f>
        <v>1040000</v>
      </c>
      <c r="F179" s="100">
        <f t="shared" si="1"/>
        <v>13450950</v>
      </c>
      <c r="G179" s="80"/>
      <c r="H179" s="101">
        <f>IFERROR(MATCH($B$5&amp;"-"&amp;171,'Jurnal Umum'!$J$6:$J$909,0)+5,"")</f>
        <v>777</v>
      </c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96" t="str">
        <f t="array" ref="A180">IF($H180="","",INDEX('Jurnal Umum'!$A$6:$A$2564,$H180-5))</f>
        <v/>
      </c>
      <c r="B180" s="97" t="str">
        <f t="array" ref="B180">IF($H180="","",IFERROR(INDEX('Jurnal Umum'!$C$6:$C$2564,
 MATCH(1,
   ('Jurnal Umum'!$A$6:$A$2564=INDEX('Jurnal Umum'!$A$6:$A$2564,$H180-5)) *
   ('Jurnal Umum'!$C$6:$C$2564=INDEX('Jurnal Umum'!$C$6:$C$2564,$H180-5)) *
   ('Jurnal Umum'!$D$6:$D$2564&lt;&gt;$B$5)
 ,0)),""))</f>
        <v/>
      </c>
      <c r="C180" s="98" t="str">
        <f t="array" ref="C180">IF($H180="","",INDEX('Jurnal Umum'!$B$6:$B$2564,$H180-5))</f>
        <v/>
      </c>
      <c r="D180" s="99" t="str">
        <f t="array" ref="D180">IF($H180="","",IF(INDEX('Jurnal Umum'!$F$6:$F$2564,$H180-5)="",0,INDEX('Jurnal Umum'!$F$6:$F$2564,$H180-5)))</f>
        <v/>
      </c>
      <c r="E180" s="99" t="str">
        <f t="array" ref="E180">IF($H180="","",IF(INDEX('Jurnal Umum'!$G$6:$G$2564,$H180-5)="",0,INDEX('Jurnal Umum'!$G$6:$G$2564,$H180-5)))</f>
        <v/>
      </c>
      <c r="F180" s="100" t="str">
        <f t="shared" si="1"/>
        <v/>
      </c>
      <c r="G180" s="80"/>
      <c r="H180" s="101" t="str">
        <f>IFERROR(MATCH($B$5&amp;"-"&amp;172,'Jurnal Umum'!$J$6:$J$909,0)+5,"")</f>
        <v/>
      </c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96" t="str">
        <f t="array" ref="A181">IF($H181="","",INDEX('Jurnal Umum'!$A$6:$A$2564,$H181-5))</f>
        <v/>
      </c>
      <c r="B181" s="97" t="str">
        <f t="array" ref="B181">IF($H181="","",IFERROR(INDEX('Jurnal Umum'!$C$6:$C$2564,
 MATCH(1,
   ('Jurnal Umum'!$A$6:$A$2564=INDEX('Jurnal Umum'!$A$6:$A$2564,$H181-5)) *
   ('Jurnal Umum'!$C$6:$C$2564=INDEX('Jurnal Umum'!$C$6:$C$2564,$H181-5)) *
   ('Jurnal Umum'!$D$6:$D$2564&lt;&gt;$B$5)
 ,0)),""))</f>
        <v/>
      </c>
      <c r="C181" s="98" t="str">
        <f t="array" ref="C181">IF($H181="","",INDEX('Jurnal Umum'!$B$6:$B$2564,$H181-5))</f>
        <v/>
      </c>
      <c r="D181" s="99" t="str">
        <f t="array" ref="D181">IF($H181="","",IF(INDEX('Jurnal Umum'!$F$6:$F$2564,$H181-5)="",0,INDEX('Jurnal Umum'!$F$6:$F$2564,$H181-5)))</f>
        <v/>
      </c>
      <c r="E181" s="99" t="str">
        <f t="array" ref="E181">IF($H181="","",IF(INDEX('Jurnal Umum'!$G$6:$G$2564,$H181-5)="",0,INDEX('Jurnal Umum'!$G$6:$G$2564,$H181-5)))</f>
        <v/>
      </c>
      <c r="F181" s="100" t="str">
        <f t="shared" si="1"/>
        <v/>
      </c>
      <c r="G181" s="80"/>
      <c r="H181" s="101" t="str">
        <f>IFERROR(MATCH($B$5&amp;"-"&amp;173,'Jurnal Umum'!$J$6:$J$909,0)+5,"")</f>
        <v/>
      </c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96" t="str">
        <f t="array" ref="A182">IF($H182="","",INDEX('Jurnal Umum'!$A$6:$A$2564,$H182-5))</f>
        <v/>
      </c>
      <c r="B182" s="97" t="str">
        <f t="array" ref="B182">IF($H182="","",IFERROR(INDEX('Jurnal Umum'!$C$6:$C$2564,
 MATCH(1,
   ('Jurnal Umum'!$A$6:$A$2564=INDEX('Jurnal Umum'!$A$6:$A$2564,$H182-5)) *
   ('Jurnal Umum'!$C$6:$C$2564=INDEX('Jurnal Umum'!$C$6:$C$2564,$H182-5)) *
   ('Jurnal Umum'!$D$6:$D$2564&lt;&gt;$B$5)
 ,0)),""))</f>
        <v/>
      </c>
      <c r="C182" s="98" t="str">
        <f t="array" ref="C182">IF($H182="","",INDEX('Jurnal Umum'!$B$6:$B$2564,$H182-5))</f>
        <v/>
      </c>
      <c r="D182" s="99" t="str">
        <f t="array" ref="D182">IF($H182="","",IF(INDEX('Jurnal Umum'!$F$6:$F$2564,$H182-5)="",0,INDEX('Jurnal Umum'!$F$6:$F$2564,$H182-5)))</f>
        <v/>
      </c>
      <c r="E182" s="99" t="str">
        <f t="array" ref="E182">IF($H182="","",IF(INDEX('Jurnal Umum'!$G$6:$G$2564,$H182-5)="",0,INDEX('Jurnal Umum'!$G$6:$G$2564,$H182-5)))</f>
        <v/>
      </c>
      <c r="F182" s="100" t="str">
        <f t="shared" si="1"/>
        <v/>
      </c>
      <c r="G182" s="80"/>
      <c r="H182" s="101" t="str">
        <f>IFERROR(MATCH($B$5&amp;"-"&amp;174,'Jurnal Umum'!$J$6:$J$909,0)+5,"")</f>
        <v/>
      </c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96" t="str">
        <f t="array" ref="A183">IF($H183="","",INDEX('Jurnal Umum'!$A$6:$A$2564,$H183-5))</f>
        <v/>
      </c>
      <c r="B183" s="97" t="str">
        <f t="array" ref="B183">IF($H183="","",IFERROR(INDEX('Jurnal Umum'!$C$6:$C$2564,
 MATCH(1,
   ('Jurnal Umum'!$A$6:$A$2564=INDEX('Jurnal Umum'!$A$6:$A$2564,$H183-5)) *
   ('Jurnal Umum'!$C$6:$C$2564=INDEX('Jurnal Umum'!$C$6:$C$2564,$H183-5)) *
   ('Jurnal Umum'!$D$6:$D$2564&lt;&gt;$B$5)
 ,0)),""))</f>
        <v/>
      </c>
      <c r="C183" s="98" t="str">
        <f t="array" ref="C183">IF($H183="","",INDEX('Jurnal Umum'!$B$6:$B$2564,$H183-5))</f>
        <v/>
      </c>
      <c r="D183" s="99" t="str">
        <f t="array" ref="D183">IF($H183="","",IF(INDEX('Jurnal Umum'!$F$6:$F$2564,$H183-5)="",0,INDEX('Jurnal Umum'!$F$6:$F$2564,$H183-5)))</f>
        <v/>
      </c>
      <c r="E183" s="99" t="str">
        <f t="array" ref="E183">IF($H183="","",IF(INDEX('Jurnal Umum'!$G$6:$G$2564,$H183-5)="",0,INDEX('Jurnal Umum'!$G$6:$G$2564,$H183-5)))</f>
        <v/>
      </c>
      <c r="F183" s="100" t="str">
        <f t="shared" si="1"/>
        <v/>
      </c>
      <c r="G183" s="80"/>
      <c r="H183" s="101" t="str">
        <f>IFERROR(MATCH($B$5&amp;"-"&amp;175,'Jurnal Umum'!$J$6:$J$909,0)+5,"")</f>
        <v/>
      </c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96" t="str">
        <f t="array" ref="A184">IF($H184="","",INDEX('Jurnal Umum'!$A$6:$A$2564,$H184-5))</f>
        <v/>
      </c>
      <c r="B184" s="97" t="str">
        <f t="array" ref="B184">IF($H184="","",IFERROR(INDEX('Jurnal Umum'!$C$6:$C$2564,
 MATCH(1,
   ('Jurnal Umum'!$A$6:$A$2564=INDEX('Jurnal Umum'!$A$6:$A$2564,$H184-5)) *
   ('Jurnal Umum'!$C$6:$C$2564=INDEX('Jurnal Umum'!$C$6:$C$2564,$H184-5)) *
   ('Jurnal Umum'!$D$6:$D$2564&lt;&gt;$B$5)
 ,0)),""))</f>
        <v/>
      </c>
      <c r="C184" s="98" t="str">
        <f t="array" ref="C184">IF($H184="","",INDEX('Jurnal Umum'!$B$6:$B$2564,$H184-5))</f>
        <v/>
      </c>
      <c r="D184" s="99" t="str">
        <f t="array" ref="D184">IF($H184="","",IF(INDEX('Jurnal Umum'!$F$6:$F$2564,$H184-5)="",0,INDEX('Jurnal Umum'!$F$6:$F$2564,$H184-5)))</f>
        <v/>
      </c>
      <c r="E184" s="99" t="str">
        <f t="array" ref="E184">IF($H184="","",IF(INDEX('Jurnal Umum'!$G$6:$G$2564,$H184-5)="",0,INDEX('Jurnal Umum'!$G$6:$G$2564,$H184-5)))</f>
        <v/>
      </c>
      <c r="F184" s="100" t="str">
        <f t="shared" si="1"/>
        <v/>
      </c>
      <c r="G184" s="80"/>
      <c r="H184" s="101" t="str">
        <f>IFERROR(MATCH($B$5&amp;"-"&amp;176,'Jurnal Umum'!$J$6:$J$909,0)+5,"")</f>
        <v/>
      </c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96" t="str">
        <f t="array" ref="A185">IF($H185="","",INDEX('Jurnal Umum'!$A$6:$A$2564,$H185-5))</f>
        <v/>
      </c>
      <c r="B185" s="97" t="str">
        <f t="array" ref="B185">IF($H185="","",IFERROR(INDEX('Jurnal Umum'!$C$6:$C$2564,
 MATCH(1,
   ('Jurnal Umum'!$A$6:$A$2564=INDEX('Jurnal Umum'!$A$6:$A$2564,$H185-5)) *
   ('Jurnal Umum'!$C$6:$C$2564=INDEX('Jurnal Umum'!$C$6:$C$2564,$H185-5)) *
   ('Jurnal Umum'!$D$6:$D$2564&lt;&gt;$B$5)
 ,0)),""))</f>
        <v/>
      </c>
      <c r="C185" s="98" t="str">
        <f t="array" ref="C185">IF($H185="","",INDEX('Jurnal Umum'!$B$6:$B$2564,$H185-5))</f>
        <v/>
      </c>
      <c r="D185" s="99" t="str">
        <f t="array" ref="D185">IF($H185="","",IF(INDEX('Jurnal Umum'!$F$6:$F$2564,$H185-5)="",0,INDEX('Jurnal Umum'!$F$6:$F$2564,$H185-5)))</f>
        <v/>
      </c>
      <c r="E185" s="99" t="str">
        <f t="array" ref="E185">IF($H185="","",IF(INDEX('Jurnal Umum'!$G$6:$G$2564,$H185-5)="",0,INDEX('Jurnal Umum'!$G$6:$G$2564,$H185-5)))</f>
        <v/>
      </c>
      <c r="F185" s="100" t="str">
        <f t="shared" si="1"/>
        <v/>
      </c>
      <c r="G185" s="80"/>
      <c r="H185" s="101" t="str">
        <f>IFERROR(MATCH($B$5&amp;"-"&amp;177,'Jurnal Umum'!$J$6:$J$909,0)+5,"")</f>
        <v/>
      </c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96" t="str">
        <f t="array" ref="A186">IF($H186="","",INDEX('Jurnal Umum'!$A$6:$A$2564,$H186-5))</f>
        <v/>
      </c>
      <c r="B186" s="97" t="str">
        <f t="array" ref="B186">IF($H186="","",IFERROR(INDEX('Jurnal Umum'!$C$6:$C$2564,
 MATCH(1,
   ('Jurnal Umum'!$A$6:$A$2564=INDEX('Jurnal Umum'!$A$6:$A$2564,$H186-5)) *
   ('Jurnal Umum'!$C$6:$C$2564=INDEX('Jurnal Umum'!$C$6:$C$2564,$H186-5)) *
   ('Jurnal Umum'!$D$6:$D$2564&lt;&gt;$B$5)
 ,0)),""))</f>
        <v/>
      </c>
      <c r="C186" s="98" t="str">
        <f t="array" ref="C186">IF($H186="","",INDEX('Jurnal Umum'!$B$6:$B$2564,$H186-5))</f>
        <v/>
      </c>
      <c r="D186" s="99" t="str">
        <f t="array" ref="D186">IF($H186="","",IF(INDEX('Jurnal Umum'!$F$6:$F$2564,$H186-5)="",0,INDEX('Jurnal Umum'!$F$6:$F$2564,$H186-5)))</f>
        <v/>
      </c>
      <c r="E186" s="99" t="str">
        <f t="array" ref="E186">IF($H186="","",IF(INDEX('Jurnal Umum'!$G$6:$G$2564,$H186-5)="",0,INDEX('Jurnal Umum'!$G$6:$G$2564,$H186-5)))</f>
        <v/>
      </c>
      <c r="F186" s="100" t="str">
        <f t="shared" si="1"/>
        <v/>
      </c>
      <c r="G186" s="80"/>
      <c r="H186" s="101" t="str">
        <f>IFERROR(MATCH($B$5&amp;"-"&amp;178,'Jurnal Umum'!$J$6:$J$909,0)+5,"")</f>
        <v/>
      </c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96" t="str">
        <f t="array" ref="A187">IF($H187="","",INDEX('Jurnal Umum'!$A$6:$A$2564,$H187-5))</f>
        <v/>
      </c>
      <c r="B187" s="97" t="str">
        <f t="array" ref="B187">IF($H187="","",IFERROR(INDEX('Jurnal Umum'!$C$6:$C$2564,
 MATCH(1,
   ('Jurnal Umum'!$A$6:$A$2564=INDEX('Jurnal Umum'!$A$6:$A$2564,$H187-5)) *
   ('Jurnal Umum'!$C$6:$C$2564=INDEX('Jurnal Umum'!$C$6:$C$2564,$H187-5)) *
   ('Jurnal Umum'!$D$6:$D$2564&lt;&gt;$B$5)
 ,0)),""))</f>
        <v/>
      </c>
      <c r="C187" s="98" t="str">
        <f t="array" ref="C187">IF($H187="","",INDEX('Jurnal Umum'!$B$6:$B$2564,$H187-5))</f>
        <v/>
      </c>
      <c r="D187" s="99" t="str">
        <f t="array" ref="D187">IF($H187="","",IF(INDEX('Jurnal Umum'!$F$6:$F$2564,$H187-5)="",0,INDEX('Jurnal Umum'!$F$6:$F$2564,$H187-5)))</f>
        <v/>
      </c>
      <c r="E187" s="99" t="str">
        <f t="array" ref="E187">IF($H187="","",IF(INDEX('Jurnal Umum'!$G$6:$G$2564,$H187-5)="",0,INDEX('Jurnal Umum'!$G$6:$G$2564,$H187-5)))</f>
        <v/>
      </c>
      <c r="F187" s="100" t="str">
        <f t="shared" si="1"/>
        <v/>
      </c>
      <c r="G187" s="80"/>
      <c r="H187" s="101" t="str">
        <f>IFERROR(MATCH($B$5&amp;"-"&amp;179,'Jurnal Umum'!$J$6:$J$909,0)+5,"")</f>
        <v/>
      </c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96" t="str">
        <f t="array" ref="A188">IF($H188="","",INDEX('Jurnal Umum'!$A$6:$A$2564,$H188-5))</f>
        <v/>
      </c>
      <c r="B188" s="97" t="str">
        <f t="array" ref="B188">IF($H188="","",IFERROR(INDEX('Jurnal Umum'!$C$6:$C$2564,
 MATCH(1,
   ('Jurnal Umum'!$A$6:$A$2564=INDEX('Jurnal Umum'!$A$6:$A$2564,$H188-5)) *
   ('Jurnal Umum'!$C$6:$C$2564=INDEX('Jurnal Umum'!$C$6:$C$2564,$H188-5)) *
   ('Jurnal Umum'!$D$6:$D$2564&lt;&gt;$B$5)
 ,0)),""))</f>
        <v/>
      </c>
      <c r="C188" s="98" t="str">
        <f t="array" ref="C188">IF($H188="","",INDEX('Jurnal Umum'!$B$6:$B$2564,$H188-5))</f>
        <v/>
      </c>
      <c r="D188" s="99" t="str">
        <f t="array" ref="D188">IF($H188="","",IF(INDEX('Jurnal Umum'!$F$6:$F$2564,$H188-5)="",0,INDEX('Jurnal Umum'!$F$6:$F$2564,$H188-5)))</f>
        <v/>
      </c>
      <c r="E188" s="99" t="str">
        <f t="array" ref="E188">IF($H188="","",IF(INDEX('Jurnal Umum'!$G$6:$G$2564,$H188-5)="",0,INDEX('Jurnal Umum'!$G$6:$G$2564,$H188-5)))</f>
        <v/>
      </c>
      <c r="F188" s="100" t="str">
        <f t="shared" si="1"/>
        <v/>
      </c>
      <c r="G188" s="80"/>
      <c r="H188" s="101" t="str">
        <f>IFERROR(MATCH($B$5&amp;"-"&amp;180,'Jurnal Umum'!$J$6:$J$909,0)+5,"")</f>
        <v/>
      </c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96" t="str">
        <f t="array" ref="A189">IF($H189="","",INDEX('Jurnal Umum'!$A$6:$A$2564,$H189-5))</f>
        <v/>
      </c>
      <c r="B189" s="97" t="str">
        <f t="array" ref="B189">IF($H189="","",IFERROR(INDEX('Jurnal Umum'!$C$6:$C$2564,
 MATCH(1,
   ('Jurnal Umum'!$A$6:$A$2564=INDEX('Jurnal Umum'!$A$6:$A$2564,$H189-5)) *
   ('Jurnal Umum'!$C$6:$C$2564=INDEX('Jurnal Umum'!$C$6:$C$2564,$H189-5)) *
   ('Jurnal Umum'!$D$6:$D$2564&lt;&gt;$B$5)
 ,0)),""))</f>
        <v/>
      </c>
      <c r="C189" s="98" t="str">
        <f t="array" ref="C189">IF($H189="","",INDEX('Jurnal Umum'!$B$6:$B$2564,$H189-5))</f>
        <v/>
      </c>
      <c r="D189" s="99" t="str">
        <f t="array" ref="D189">IF($H189="","",IF(INDEX('Jurnal Umum'!$F$6:$F$2564,$H189-5)="",0,INDEX('Jurnal Umum'!$F$6:$F$2564,$H189-5)))</f>
        <v/>
      </c>
      <c r="E189" s="99" t="str">
        <f t="array" ref="E189">IF($H189="","",IF(INDEX('Jurnal Umum'!$G$6:$G$2564,$H189-5)="",0,INDEX('Jurnal Umum'!$G$6:$G$2564,$H189-5)))</f>
        <v/>
      </c>
      <c r="F189" s="100" t="str">
        <f t="shared" si="1"/>
        <v/>
      </c>
      <c r="G189" s="80"/>
      <c r="H189" s="101" t="str">
        <f>IFERROR(MATCH($B$5&amp;"-"&amp;181,'Jurnal Umum'!$J$6:$J$909,0)+5,"")</f>
        <v/>
      </c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96" t="str">
        <f t="array" ref="A190">IF($H190="","",INDEX('Jurnal Umum'!$A$6:$A$2564,$H190-5))</f>
        <v/>
      </c>
      <c r="B190" s="97" t="str">
        <f t="array" ref="B190">IF($H190="","",IFERROR(INDEX('Jurnal Umum'!$C$6:$C$2564,
 MATCH(1,
   ('Jurnal Umum'!$A$6:$A$2564=INDEX('Jurnal Umum'!$A$6:$A$2564,$H190-5)) *
   ('Jurnal Umum'!$C$6:$C$2564=INDEX('Jurnal Umum'!$C$6:$C$2564,$H190-5)) *
   ('Jurnal Umum'!$D$6:$D$2564&lt;&gt;$B$5)
 ,0)),""))</f>
        <v/>
      </c>
      <c r="C190" s="98" t="str">
        <f t="array" ref="C190">IF($H190="","",INDEX('Jurnal Umum'!$B$6:$B$2564,$H190-5))</f>
        <v/>
      </c>
      <c r="D190" s="99" t="str">
        <f t="array" ref="D190">IF($H190="","",IF(INDEX('Jurnal Umum'!$F$6:$F$2564,$H190-5)="",0,INDEX('Jurnal Umum'!$F$6:$F$2564,$H190-5)))</f>
        <v/>
      </c>
      <c r="E190" s="99" t="str">
        <f t="array" ref="E190">IF($H190="","",IF(INDEX('Jurnal Umum'!$G$6:$G$2564,$H190-5)="",0,INDEX('Jurnal Umum'!$G$6:$G$2564,$H190-5)))</f>
        <v/>
      </c>
      <c r="F190" s="100" t="str">
        <f t="shared" si="1"/>
        <v/>
      </c>
      <c r="G190" s="80"/>
      <c r="H190" s="101" t="str">
        <f>IFERROR(MATCH($B$5&amp;"-"&amp;182,'Jurnal Umum'!$J$6:$J$909,0)+5,"")</f>
        <v/>
      </c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96" t="str">
        <f t="array" ref="A191">IF($H191="","",INDEX('Jurnal Umum'!$A$6:$A$2564,$H191-5))</f>
        <v/>
      </c>
      <c r="B191" s="97" t="str">
        <f t="array" ref="B191">IF($H191="","",IFERROR(INDEX('Jurnal Umum'!$C$6:$C$2564,
 MATCH(1,
   ('Jurnal Umum'!$A$6:$A$2564=INDEX('Jurnal Umum'!$A$6:$A$2564,$H191-5)) *
   ('Jurnal Umum'!$C$6:$C$2564=INDEX('Jurnal Umum'!$C$6:$C$2564,$H191-5)) *
   ('Jurnal Umum'!$D$6:$D$2564&lt;&gt;$B$5)
 ,0)),""))</f>
        <v/>
      </c>
      <c r="C191" s="98" t="str">
        <f t="array" ref="C191">IF($H191="","",INDEX('Jurnal Umum'!$B$6:$B$2564,$H191-5))</f>
        <v/>
      </c>
      <c r="D191" s="99" t="str">
        <f t="array" ref="D191">IF($H191="","",IF(INDEX('Jurnal Umum'!$F$6:$F$2564,$H191-5)="",0,INDEX('Jurnal Umum'!$F$6:$F$2564,$H191-5)))</f>
        <v/>
      </c>
      <c r="E191" s="99" t="str">
        <f t="array" ref="E191">IF($H191="","",IF(INDEX('Jurnal Umum'!$G$6:$G$2564,$H191-5)="",0,INDEX('Jurnal Umum'!$G$6:$G$2564,$H191-5)))</f>
        <v/>
      </c>
      <c r="F191" s="100" t="str">
        <f t="shared" si="1"/>
        <v/>
      </c>
      <c r="G191" s="80"/>
      <c r="H191" s="101" t="str">
        <f>IFERROR(MATCH($B$5&amp;"-"&amp;183,'Jurnal Umum'!$J$6:$J$909,0)+5,"")</f>
        <v/>
      </c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96" t="str">
        <f t="array" ref="A192">IF($H192="","",INDEX('Jurnal Umum'!$A$6:$A$2564,$H192-5))</f>
        <v/>
      </c>
      <c r="B192" s="97" t="str">
        <f t="array" ref="B192">IF($H192="","",IFERROR(INDEX('Jurnal Umum'!$C$6:$C$2564,
 MATCH(1,
   ('Jurnal Umum'!$A$6:$A$2564=INDEX('Jurnal Umum'!$A$6:$A$2564,$H192-5)) *
   ('Jurnal Umum'!$C$6:$C$2564=INDEX('Jurnal Umum'!$C$6:$C$2564,$H192-5)) *
   ('Jurnal Umum'!$D$6:$D$2564&lt;&gt;$B$5)
 ,0)),""))</f>
        <v/>
      </c>
      <c r="C192" s="98" t="str">
        <f t="array" ref="C192">IF($H192="","",INDEX('Jurnal Umum'!$B$6:$B$2564,$H192-5))</f>
        <v/>
      </c>
      <c r="D192" s="99" t="str">
        <f t="array" ref="D192">IF($H192="","",IF(INDEX('Jurnal Umum'!$F$6:$F$2564,$H192-5)="",0,INDEX('Jurnal Umum'!$F$6:$F$2564,$H192-5)))</f>
        <v/>
      </c>
      <c r="E192" s="99" t="str">
        <f t="array" ref="E192">IF($H192="","",IF(INDEX('Jurnal Umum'!$G$6:$G$2564,$H192-5)="",0,INDEX('Jurnal Umum'!$G$6:$G$2564,$H192-5)))</f>
        <v/>
      </c>
      <c r="F192" s="100" t="str">
        <f t="shared" si="1"/>
        <v/>
      </c>
      <c r="G192" s="80"/>
      <c r="H192" s="101" t="str">
        <f>IFERROR(MATCH($B$5&amp;"-"&amp;184,'Jurnal Umum'!$J$6:$J$909,0)+5,"")</f>
        <v/>
      </c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96" t="str">
        <f t="array" ref="A193">IF($H193="","",INDEX('Jurnal Umum'!$A$6:$A$2564,$H193-5))</f>
        <v/>
      </c>
      <c r="B193" s="97" t="str">
        <f t="array" ref="B193">IF($H193="","",IFERROR(INDEX('Jurnal Umum'!$C$6:$C$2564,
 MATCH(1,
   ('Jurnal Umum'!$A$6:$A$2564=INDEX('Jurnal Umum'!$A$6:$A$2564,$H193-5)) *
   ('Jurnal Umum'!$C$6:$C$2564=INDEX('Jurnal Umum'!$C$6:$C$2564,$H193-5)) *
   ('Jurnal Umum'!$D$6:$D$2564&lt;&gt;$B$5)
 ,0)),""))</f>
        <v/>
      </c>
      <c r="C193" s="98" t="str">
        <f t="array" ref="C193">IF($H193="","",INDEX('Jurnal Umum'!$B$6:$B$2564,$H193-5))</f>
        <v/>
      </c>
      <c r="D193" s="99" t="str">
        <f t="array" ref="D193">IF($H193="","",IF(INDEX('Jurnal Umum'!$F$6:$F$2564,$H193-5)="",0,INDEX('Jurnal Umum'!$F$6:$F$2564,$H193-5)))</f>
        <v/>
      </c>
      <c r="E193" s="99" t="str">
        <f t="array" ref="E193">IF($H193="","",IF(INDEX('Jurnal Umum'!$G$6:$G$2564,$H193-5)="",0,INDEX('Jurnal Umum'!$G$6:$G$2564,$H193-5)))</f>
        <v/>
      </c>
      <c r="F193" s="100" t="str">
        <f t="shared" si="1"/>
        <v/>
      </c>
      <c r="G193" s="80"/>
      <c r="H193" s="101" t="str">
        <f>IFERROR(MATCH($B$5&amp;"-"&amp;185,'Jurnal Umum'!$J$6:$J$909,0)+5,"")</f>
        <v/>
      </c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96" t="str">
        <f t="array" ref="A194">IF($H194="","",INDEX('Jurnal Umum'!$A$6:$A$2564,$H194-5))</f>
        <v/>
      </c>
      <c r="B194" s="97" t="str">
        <f t="array" ref="B194">IF($H194="","",IFERROR(INDEX('Jurnal Umum'!$C$6:$C$2564,
 MATCH(1,
   ('Jurnal Umum'!$A$6:$A$2564=INDEX('Jurnal Umum'!$A$6:$A$2564,$H194-5)) *
   ('Jurnal Umum'!$C$6:$C$2564=INDEX('Jurnal Umum'!$C$6:$C$2564,$H194-5)) *
   ('Jurnal Umum'!$D$6:$D$2564&lt;&gt;$B$5)
 ,0)),""))</f>
        <v/>
      </c>
      <c r="C194" s="98" t="str">
        <f t="array" ref="C194">IF($H194="","",INDEX('Jurnal Umum'!$B$6:$B$2564,$H194-5))</f>
        <v/>
      </c>
      <c r="D194" s="99" t="str">
        <f t="array" ref="D194">IF($H194="","",IF(INDEX('Jurnal Umum'!$F$6:$F$2564,$H194-5)="",0,INDEX('Jurnal Umum'!$F$6:$F$2564,$H194-5)))</f>
        <v/>
      </c>
      <c r="E194" s="99" t="str">
        <f t="array" ref="E194">IF($H194="","",IF(INDEX('Jurnal Umum'!$G$6:$G$2564,$H194-5)="",0,INDEX('Jurnal Umum'!$G$6:$G$2564,$H194-5)))</f>
        <v/>
      </c>
      <c r="F194" s="100" t="str">
        <f t="shared" si="1"/>
        <v/>
      </c>
      <c r="G194" s="80"/>
      <c r="H194" s="101" t="str">
        <f>IFERROR(MATCH($B$5&amp;"-"&amp;186,'Jurnal Umum'!$J$6:$J$909,0)+5,"")</f>
        <v/>
      </c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96" t="str">
        <f t="array" ref="A195">IF($H195="","",INDEX('Jurnal Umum'!$A$6:$A$2564,$H195-5))</f>
        <v/>
      </c>
      <c r="B195" s="97" t="str">
        <f t="array" ref="B195">IF($H195="","",IFERROR(INDEX('Jurnal Umum'!$C$6:$C$2564,
 MATCH(1,
   ('Jurnal Umum'!$A$6:$A$2564=INDEX('Jurnal Umum'!$A$6:$A$2564,$H195-5)) *
   ('Jurnal Umum'!$C$6:$C$2564=INDEX('Jurnal Umum'!$C$6:$C$2564,$H195-5)) *
   ('Jurnal Umum'!$D$6:$D$2564&lt;&gt;$B$5)
 ,0)),""))</f>
        <v/>
      </c>
      <c r="C195" s="98" t="str">
        <f t="array" ref="C195">IF($H195="","",INDEX('Jurnal Umum'!$B$6:$B$2564,$H195-5))</f>
        <v/>
      </c>
      <c r="D195" s="99" t="str">
        <f t="array" ref="D195">IF($H195="","",IF(INDEX('Jurnal Umum'!$F$6:$F$2564,$H195-5)="",0,INDEX('Jurnal Umum'!$F$6:$F$2564,$H195-5)))</f>
        <v/>
      </c>
      <c r="E195" s="99" t="str">
        <f t="array" ref="E195">IF($H195="","",IF(INDEX('Jurnal Umum'!$G$6:$G$2564,$H195-5)="",0,INDEX('Jurnal Umum'!$G$6:$G$2564,$H195-5)))</f>
        <v/>
      </c>
      <c r="F195" s="100" t="str">
        <f t="shared" si="1"/>
        <v/>
      </c>
      <c r="G195" s="80"/>
      <c r="H195" s="101" t="str">
        <f>IFERROR(MATCH($B$5&amp;"-"&amp;187,'Jurnal Umum'!$J$6:$J$909,0)+5,"")</f>
        <v/>
      </c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96" t="str">
        <f t="array" ref="A196">IF($H196="","",INDEX('Jurnal Umum'!$A$6:$A$2564,$H196-5))</f>
        <v/>
      </c>
      <c r="B196" s="97" t="str">
        <f t="array" ref="B196">IF($H196="","",IFERROR(INDEX('Jurnal Umum'!$C$6:$C$2564,
 MATCH(1,
   ('Jurnal Umum'!$A$6:$A$2564=INDEX('Jurnal Umum'!$A$6:$A$2564,$H196-5)) *
   ('Jurnal Umum'!$C$6:$C$2564=INDEX('Jurnal Umum'!$C$6:$C$2564,$H196-5)) *
   ('Jurnal Umum'!$D$6:$D$2564&lt;&gt;$B$5)
 ,0)),""))</f>
        <v/>
      </c>
      <c r="C196" s="98" t="str">
        <f t="array" ref="C196">IF($H196="","",INDEX('Jurnal Umum'!$B$6:$B$2564,$H196-5))</f>
        <v/>
      </c>
      <c r="D196" s="99" t="str">
        <f t="array" ref="D196">IF($H196="","",IF(INDEX('Jurnal Umum'!$F$6:$F$2564,$H196-5)="",0,INDEX('Jurnal Umum'!$F$6:$F$2564,$H196-5)))</f>
        <v/>
      </c>
      <c r="E196" s="99" t="str">
        <f t="array" ref="E196">IF($H196="","",IF(INDEX('Jurnal Umum'!$G$6:$G$2564,$H196-5)="",0,INDEX('Jurnal Umum'!$G$6:$G$2564,$H196-5)))</f>
        <v/>
      </c>
      <c r="F196" s="100" t="str">
        <f t="shared" si="1"/>
        <v/>
      </c>
      <c r="G196" s="80"/>
      <c r="H196" s="101" t="str">
        <f>IFERROR(MATCH($B$5&amp;"-"&amp;188,'Jurnal Umum'!$J$6:$J$909,0)+5,"")</f>
        <v/>
      </c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96" t="str">
        <f t="array" ref="A197">IF($H197="","",INDEX('Jurnal Umum'!$A$6:$A$2564,$H197-5))</f>
        <v/>
      </c>
      <c r="B197" s="97" t="str">
        <f t="array" ref="B197">IF($H197="","",IFERROR(INDEX('Jurnal Umum'!$C$6:$C$2564,
 MATCH(1,
   ('Jurnal Umum'!$A$6:$A$2564=INDEX('Jurnal Umum'!$A$6:$A$2564,$H197-5)) *
   ('Jurnal Umum'!$C$6:$C$2564=INDEX('Jurnal Umum'!$C$6:$C$2564,$H197-5)) *
   ('Jurnal Umum'!$D$6:$D$2564&lt;&gt;$B$5)
 ,0)),""))</f>
        <v/>
      </c>
      <c r="C197" s="98" t="str">
        <f t="array" ref="C197">IF($H197="","",INDEX('Jurnal Umum'!$B$6:$B$2564,$H197-5))</f>
        <v/>
      </c>
      <c r="D197" s="99" t="str">
        <f t="array" ref="D197">IF($H197="","",IF(INDEX('Jurnal Umum'!$F$6:$F$2564,$H197-5)="",0,INDEX('Jurnal Umum'!$F$6:$F$2564,$H197-5)))</f>
        <v/>
      </c>
      <c r="E197" s="99" t="str">
        <f t="array" ref="E197">IF($H197="","",IF(INDEX('Jurnal Umum'!$G$6:$G$2564,$H197-5)="",0,INDEX('Jurnal Umum'!$G$6:$G$2564,$H197-5)))</f>
        <v/>
      </c>
      <c r="F197" s="100" t="str">
        <f t="shared" si="1"/>
        <v/>
      </c>
      <c r="G197" s="80"/>
      <c r="H197" s="101" t="str">
        <f>IFERROR(MATCH($B$5&amp;"-"&amp;189,'Jurnal Umum'!$J$6:$J$909,0)+5,"")</f>
        <v/>
      </c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96" t="str">
        <f t="array" ref="A198">IF($H198="","",INDEX('Jurnal Umum'!$A$6:$A$2564,$H198-5))</f>
        <v/>
      </c>
      <c r="B198" s="97" t="str">
        <f t="array" ref="B198">IF($H198="","",IFERROR(INDEX('Jurnal Umum'!$C$6:$C$2564,
 MATCH(1,
   ('Jurnal Umum'!$A$6:$A$2564=INDEX('Jurnal Umum'!$A$6:$A$2564,$H198-5)) *
   ('Jurnal Umum'!$C$6:$C$2564=INDEX('Jurnal Umum'!$C$6:$C$2564,$H198-5)) *
   ('Jurnal Umum'!$D$6:$D$2564&lt;&gt;$B$5)
 ,0)),""))</f>
        <v/>
      </c>
      <c r="C198" s="98" t="str">
        <f t="array" ref="C198">IF($H198="","",INDEX('Jurnal Umum'!$B$6:$B$2564,$H198-5))</f>
        <v/>
      </c>
      <c r="D198" s="99" t="str">
        <f t="array" ref="D198">IF($H198="","",IF(INDEX('Jurnal Umum'!$F$6:$F$2564,$H198-5)="",0,INDEX('Jurnal Umum'!$F$6:$F$2564,$H198-5)))</f>
        <v/>
      </c>
      <c r="E198" s="99" t="str">
        <f t="array" ref="E198">IF($H198="","",IF(INDEX('Jurnal Umum'!$G$6:$G$2564,$H198-5)="",0,INDEX('Jurnal Umum'!$G$6:$G$2564,$H198-5)))</f>
        <v/>
      </c>
      <c r="F198" s="100" t="str">
        <f t="shared" si="1"/>
        <v/>
      </c>
      <c r="G198" s="80"/>
      <c r="H198" s="101" t="str">
        <f>IFERROR(MATCH($B$5&amp;"-"&amp;190,'Jurnal Umum'!$J$6:$J$909,0)+5,"")</f>
        <v/>
      </c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96" t="str">
        <f t="array" ref="A199">IF($H199="","",INDEX('Jurnal Umum'!$A$6:$A$2564,$H199-5))</f>
        <v/>
      </c>
      <c r="B199" s="97" t="str">
        <f t="array" ref="B199">IF($H199="","",IFERROR(INDEX('Jurnal Umum'!$C$6:$C$2564,
 MATCH(1,
   ('Jurnal Umum'!$A$6:$A$2564=INDEX('Jurnal Umum'!$A$6:$A$2564,$H199-5)) *
   ('Jurnal Umum'!$C$6:$C$2564=INDEX('Jurnal Umum'!$C$6:$C$2564,$H199-5)) *
   ('Jurnal Umum'!$D$6:$D$2564&lt;&gt;$B$5)
 ,0)),""))</f>
        <v/>
      </c>
      <c r="C199" s="98" t="str">
        <f t="array" ref="C199">IF($H199="","",INDEX('Jurnal Umum'!$B$6:$B$2564,$H199-5))</f>
        <v/>
      </c>
      <c r="D199" s="99" t="str">
        <f t="array" ref="D199">IF($H199="","",IF(INDEX('Jurnal Umum'!$F$6:$F$2564,$H199-5)="",0,INDEX('Jurnal Umum'!$F$6:$F$2564,$H199-5)))</f>
        <v/>
      </c>
      <c r="E199" s="99" t="str">
        <f t="array" ref="E199">IF($H199="","",IF(INDEX('Jurnal Umum'!$G$6:$G$2564,$H199-5)="",0,INDEX('Jurnal Umum'!$G$6:$G$2564,$H199-5)))</f>
        <v/>
      </c>
      <c r="F199" s="100" t="str">
        <f t="shared" si="1"/>
        <v/>
      </c>
      <c r="G199" s="80"/>
      <c r="H199" s="101" t="str">
        <f>IFERROR(MATCH($B$5&amp;"-"&amp;191,'Jurnal Umum'!$J$6:$J$909,0)+5,"")</f>
        <v/>
      </c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96" t="str">
        <f t="array" ref="A200">IF($H200="","",INDEX('Jurnal Umum'!$A$6:$A$2564,$H200-5))</f>
        <v/>
      </c>
      <c r="B200" s="97" t="str">
        <f t="array" ref="B200">IF($H200="","",IFERROR(INDEX('Jurnal Umum'!$C$6:$C$2564,
 MATCH(1,
   ('Jurnal Umum'!$A$6:$A$2564=INDEX('Jurnal Umum'!$A$6:$A$2564,$H200-5)) *
   ('Jurnal Umum'!$C$6:$C$2564=INDEX('Jurnal Umum'!$C$6:$C$2564,$H200-5)) *
   ('Jurnal Umum'!$D$6:$D$2564&lt;&gt;$B$5)
 ,0)),""))</f>
        <v/>
      </c>
      <c r="C200" s="98" t="str">
        <f t="array" ref="C200">IF($H200="","",INDEX('Jurnal Umum'!$B$6:$B$2564,$H200-5))</f>
        <v/>
      </c>
      <c r="D200" s="99" t="str">
        <f t="array" ref="D200">IF($H200="","",IF(INDEX('Jurnal Umum'!$F$6:$F$2564,$H200-5)="",0,INDEX('Jurnal Umum'!$F$6:$F$2564,$H200-5)))</f>
        <v/>
      </c>
      <c r="E200" s="99" t="str">
        <f t="array" ref="E200">IF($H200="","",IF(INDEX('Jurnal Umum'!$G$6:$G$2564,$H200-5)="",0,INDEX('Jurnal Umum'!$G$6:$G$2564,$H200-5)))</f>
        <v/>
      </c>
      <c r="F200" s="100" t="str">
        <f t="shared" si="1"/>
        <v/>
      </c>
      <c r="G200" s="80"/>
      <c r="H200" s="101" t="str">
        <f>IFERROR(MATCH($B$5&amp;"-"&amp;192,'Jurnal Umum'!$J$6:$J$909,0)+5,"")</f>
        <v/>
      </c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96" t="str">
        <f t="array" ref="A201">IF($H201="","",INDEX('Jurnal Umum'!$A$6:$A$2564,$H201-5))</f>
        <v/>
      </c>
      <c r="B201" s="97" t="str">
        <f t="array" ref="B201">IF($H201="","",IFERROR(INDEX('Jurnal Umum'!$C$6:$C$2564,
 MATCH(1,
   ('Jurnal Umum'!$A$6:$A$2564=INDEX('Jurnal Umum'!$A$6:$A$2564,$H201-5)) *
   ('Jurnal Umum'!$C$6:$C$2564=INDEX('Jurnal Umum'!$C$6:$C$2564,$H201-5)) *
   ('Jurnal Umum'!$D$6:$D$2564&lt;&gt;$B$5)
 ,0)),""))</f>
        <v/>
      </c>
      <c r="C201" s="98" t="str">
        <f t="array" ref="C201">IF($H201="","",INDEX('Jurnal Umum'!$B$6:$B$2564,$H201-5))</f>
        <v/>
      </c>
      <c r="D201" s="99" t="str">
        <f t="array" ref="D201">IF($H201="","",IF(INDEX('Jurnal Umum'!$F$6:$F$2564,$H201-5)="",0,INDEX('Jurnal Umum'!$F$6:$F$2564,$H201-5)))</f>
        <v/>
      </c>
      <c r="E201" s="99" t="str">
        <f t="array" ref="E201">IF($H201="","",IF(INDEX('Jurnal Umum'!$G$6:$G$2564,$H201-5)="",0,INDEX('Jurnal Umum'!$G$6:$G$2564,$H201-5)))</f>
        <v/>
      </c>
      <c r="F201" s="100" t="str">
        <f t="shared" si="1"/>
        <v/>
      </c>
      <c r="G201" s="80"/>
      <c r="H201" s="101" t="str">
        <f>IFERROR(MATCH($B$5&amp;"-"&amp;193,'Jurnal Umum'!$J$6:$J$909,0)+5,"")</f>
        <v/>
      </c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96" t="str">
        <f t="array" ref="A202">IF($H202="","",INDEX('Jurnal Umum'!$A$6:$A$2564,$H202-5))</f>
        <v/>
      </c>
      <c r="B202" s="97" t="str">
        <f t="array" ref="B202">IF($H202="","",IFERROR(INDEX('Jurnal Umum'!$C$6:$C$2564,
 MATCH(1,
   ('Jurnal Umum'!$A$6:$A$2564=INDEX('Jurnal Umum'!$A$6:$A$2564,$H202-5)) *
   ('Jurnal Umum'!$C$6:$C$2564=INDEX('Jurnal Umum'!$C$6:$C$2564,$H202-5)) *
   ('Jurnal Umum'!$D$6:$D$2564&lt;&gt;$B$5)
 ,0)),""))</f>
        <v/>
      </c>
      <c r="C202" s="98" t="str">
        <f t="array" ref="C202">IF($H202="","",INDEX('Jurnal Umum'!$B$6:$B$2564,$H202-5))</f>
        <v/>
      </c>
      <c r="D202" s="99" t="str">
        <f t="array" ref="D202">IF($H202="","",IF(INDEX('Jurnal Umum'!$F$6:$F$2564,$H202-5)="",0,INDEX('Jurnal Umum'!$F$6:$F$2564,$H202-5)))</f>
        <v/>
      </c>
      <c r="E202" s="99" t="str">
        <f t="array" ref="E202">IF($H202="","",IF(INDEX('Jurnal Umum'!$G$6:$G$2564,$H202-5)="",0,INDEX('Jurnal Umum'!$G$6:$G$2564,$H202-5)))</f>
        <v/>
      </c>
      <c r="F202" s="100" t="str">
        <f t="shared" si="1"/>
        <v/>
      </c>
      <c r="G202" s="80"/>
      <c r="H202" s="101" t="str">
        <f>IFERROR(MATCH($B$5&amp;"-"&amp;194,'Jurnal Umum'!$J$6:$J$909,0)+5,"")</f>
        <v/>
      </c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96" t="str">
        <f t="array" ref="A203">IF($H203="","",INDEX('Jurnal Umum'!$A$6:$A$2564,$H203-5))</f>
        <v/>
      </c>
      <c r="B203" s="97" t="str">
        <f t="array" ref="B203">IF($H203="","",IFERROR(INDEX('Jurnal Umum'!$C$6:$C$2564,
 MATCH(1,
   ('Jurnal Umum'!$A$6:$A$2564=INDEX('Jurnal Umum'!$A$6:$A$2564,$H203-5)) *
   ('Jurnal Umum'!$C$6:$C$2564=INDEX('Jurnal Umum'!$C$6:$C$2564,$H203-5)) *
   ('Jurnal Umum'!$D$6:$D$2564&lt;&gt;$B$5)
 ,0)),""))</f>
        <v/>
      </c>
      <c r="C203" s="98" t="str">
        <f t="array" ref="C203">IF($H203="","",INDEX('Jurnal Umum'!$B$6:$B$2564,$H203-5))</f>
        <v/>
      </c>
      <c r="D203" s="99" t="str">
        <f t="array" ref="D203">IF($H203="","",IF(INDEX('Jurnal Umum'!$F$6:$F$2564,$H203-5)="",0,INDEX('Jurnal Umum'!$F$6:$F$2564,$H203-5)))</f>
        <v/>
      </c>
      <c r="E203" s="99" t="str">
        <f t="array" ref="E203">IF($H203="","",IF(INDEX('Jurnal Umum'!$G$6:$G$2564,$H203-5)="",0,INDEX('Jurnal Umum'!$G$6:$G$2564,$H203-5)))</f>
        <v/>
      </c>
      <c r="F203" s="100" t="str">
        <f t="shared" si="1"/>
        <v/>
      </c>
      <c r="G203" s="80"/>
      <c r="H203" s="101" t="str">
        <f>IFERROR(MATCH($B$5&amp;"-"&amp;195,'Jurnal Umum'!$J$6:$J$909,0)+5,"")</f>
        <v/>
      </c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96" t="str">
        <f t="array" ref="A204">IF($H204="","",INDEX('Jurnal Umum'!$A$6:$A$2564,$H204-5))</f>
        <v/>
      </c>
      <c r="B204" s="97" t="str">
        <f t="array" ref="B204">IF($H204="","",IFERROR(INDEX('Jurnal Umum'!$C$6:$C$2564,
 MATCH(1,
   ('Jurnal Umum'!$A$6:$A$2564=INDEX('Jurnal Umum'!$A$6:$A$2564,$H204-5)) *
   ('Jurnal Umum'!$C$6:$C$2564=INDEX('Jurnal Umum'!$C$6:$C$2564,$H204-5)) *
   ('Jurnal Umum'!$D$6:$D$2564&lt;&gt;$B$5)
 ,0)),""))</f>
        <v/>
      </c>
      <c r="C204" s="98" t="str">
        <f t="array" ref="C204">IF($H204="","",INDEX('Jurnal Umum'!$B$6:$B$2564,$H204-5))</f>
        <v/>
      </c>
      <c r="D204" s="99" t="str">
        <f t="array" ref="D204">IF($H204="","",IF(INDEX('Jurnal Umum'!$F$6:$F$2564,$H204-5)="",0,INDEX('Jurnal Umum'!$F$6:$F$2564,$H204-5)))</f>
        <v/>
      </c>
      <c r="E204" s="99" t="str">
        <f t="array" ref="E204">IF($H204="","",IF(INDEX('Jurnal Umum'!$G$6:$G$2564,$H204-5)="",0,INDEX('Jurnal Umum'!$G$6:$G$2564,$H204-5)))</f>
        <v/>
      </c>
      <c r="F204" s="100" t="str">
        <f t="shared" si="1"/>
        <v/>
      </c>
      <c r="G204" s="80"/>
      <c r="H204" s="101" t="str">
        <f>IFERROR(MATCH($B$5&amp;"-"&amp;196,'Jurnal Umum'!$J$6:$J$909,0)+5,"")</f>
        <v/>
      </c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96" t="str">
        <f t="array" ref="A205">IF($H205="","",INDEX('Jurnal Umum'!$A$6:$A$2564,$H205-5))</f>
        <v/>
      </c>
      <c r="B205" s="97" t="str">
        <f t="array" ref="B205">IF($H205="","",IFERROR(INDEX('Jurnal Umum'!$C$6:$C$2564,
 MATCH(1,
   ('Jurnal Umum'!$A$6:$A$2564=INDEX('Jurnal Umum'!$A$6:$A$2564,$H205-5)) *
   ('Jurnal Umum'!$C$6:$C$2564=INDEX('Jurnal Umum'!$C$6:$C$2564,$H205-5)) *
   ('Jurnal Umum'!$D$6:$D$2564&lt;&gt;$B$5)
 ,0)),""))</f>
        <v/>
      </c>
      <c r="C205" s="98" t="str">
        <f t="array" ref="C205">IF($H205="","",INDEX('Jurnal Umum'!$B$6:$B$2564,$H205-5))</f>
        <v/>
      </c>
      <c r="D205" s="99" t="str">
        <f t="array" ref="D205">IF($H205="","",IF(INDEX('Jurnal Umum'!$F$6:$F$2564,$H205-5)="",0,INDEX('Jurnal Umum'!$F$6:$F$2564,$H205-5)))</f>
        <v/>
      </c>
      <c r="E205" s="99" t="str">
        <f t="array" ref="E205">IF($H205="","",IF(INDEX('Jurnal Umum'!$G$6:$G$2564,$H205-5)="",0,INDEX('Jurnal Umum'!$G$6:$G$2564,$H205-5)))</f>
        <v/>
      </c>
      <c r="F205" s="100" t="str">
        <f t="shared" si="1"/>
        <v/>
      </c>
      <c r="G205" s="80"/>
      <c r="H205" s="101" t="str">
        <f>IFERROR(MATCH($B$5&amp;"-"&amp;197,'Jurnal Umum'!$J$6:$J$909,0)+5,"")</f>
        <v/>
      </c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96" t="str">
        <f t="array" ref="A206">IF($H206="","",INDEX('Jurnal Umum'!$A$6:$A$2564,$H206-5))</f>
        <v/>
      </c>
      <c r="B206" s="97" t="str">
        <f t="array" ref="B206">IF($H206="","",IFERROR(INDEX('Jurnal Umum'!$C$6:$C$2564,
 MATCH(1,
   ('Jurnal Umum'!$A$6:$A$2564=INDEX('Jurnal Umum'!$A$6:$A$2564,$H206-5)) *
   ('Jurnal Umum'!$C$6:$C$2564=INDEX('Jurnal Umum'!$C$6:$C$2564,$H206-5)) *
   ('Jurnal Umum'!$D$6:$D$2564&lt;&gt;$B$5)
 ,0)),""))</f>
        <v/>
      </c>
      <c r="C206" s="98" t="str">
        <f t="array" ref="C206">IF($H206="","",INDEX('Jurnal Umum'!$B$6:$B$2564,$H206-5))</f>
        <v/>
      </c>
      <c r="D206" s="99" t="str">
        <f t="array" ref="D206">IF($H206="","",IF(INDEX('Jurnal Umum'!$F$6:$F$2564,$H206-5)="",0,INDEX('Jurnal Umum'!$F$6:$F$2564,$H206-5)))</f>
        <v/>
      </c>
      <c r="E206" s="99" t="str">
        <f t="array" ref="E206">IF($H206="","",IF(INDEX('Jurnal Umum'!$G$6:$G$2564,$H206-5)="",0,INDEX('Jurnal Umum'!$G$6:$G$2564,$H206-5)))</f>
        <v/>
      </c>
      <c r="F206" s="100" t="str">
        <f t="shared" si="1"/>
        <v/>
      </c>
      <c r="G206" s="80"/>
      <c r="H206" s="101" t="str">
        <f>IFERROR(MATCH($B$5&amp;"-"&amp;198,'Jurnal Umum'!$J$6:$J$909,0)+5,"")</f>
        <v/>
      </c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96" t="str">
        <f t="array" ref="A207">IF($H207="","",INDEX('Jurnal Umum'!$A$6:$A$2564,$H207-5))</f>
        <v/>
      </c>
      <c r="B207" s="97" t="str">
        <f t="array" ref="B207">IF($H207="","",IFERROR(INDEX('Jurnal Umum'!$C$6:$C$2564,
 MATCH(1,
   ('Jurnal Umum'!$A$6:$A$2564=INDEX('Jurnal Umum'!$A$6:$A$2564,$H207-5)) *
   ('Jurnal Umum'!$C$6:$C$2564=INDEX('Jurnal Umum'!$C$6:$C$2564,$H207-5)) *
   ('Jurnal Umum'!$D$6:$D$2564&lt;&gt;$B$5)
 ,0)),""))</f>
        <v/>
      </c>
      <c r="C207" s="98" t="str">
        <f t="array" ref="C207">IF($H207="","",INDEX('Jurnal Umum'!$B$6:$B$2564,$H207-5))</f>
        <v/>
      </c>
      <c r="D207" s="99" t="str">
        <f t="array" ref="D207">IF($H207="","",IF(INDEX('Jurnal Umum'!$F$6:$F$2564,$H207-5)="",0,INDEX('Jurnal Umum'!$F$6:$F$2564,$H207-5)))</f>
        <v/>
      </c>
      <c r="E207" s="99" t="str">
        <f t="array" ref="E207">IF($H207="","",IF(INDEX('Jurnal Umum'!$G$6:$G$2564,$H207-5)="",0,INDEX('Jurnal Umum'!$G$6:$G$2564,$H207-5)))</f>
        <v/>
      </c>
      <c r="F207" s="100" t="str">
        <f t="shared" si="1"/>
        <v/>
      </c>
      <c r="G207" s="80"/>
      <c r="H207" s="101" t="str">
        <f>IFERROR(MATCH($B$5&amp;"-"&amp;199,'Jurnal Umum'!$J$6:$J$909,0)+5,"")</f>
        <v/>
      </c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96" t="str">
        <f t="array" ref="A208">IF($H208="","",INDEX('Jurnal Umum'!$A$6:$A$2564,$H208-5))</f>
        <v/>
      </c>
      <c r="B208" s="97" t="str">
        <f t="array" ref="B208">IF($H208="","",IFERROR(INDEX('Jurnal Umum'!$C$6:$C$2564,
 MATCH(1,
   ('Jurnal Umum'!$A$6:$A$2564=INDEX('Jurnal Umum'!$A$6:$A$2564,$H208-5)) *
   ('Jurnal Umum'!$C$6:$C$2564=INDEX('Jurnal Umum'!$C$6:$C$2564,$H208-5)) *
   ('Jurnal Umum'!$D$6:$D$2564&lt;&gt;$B$5)
 ,0)),""))</f>
        <v/>
      </c>
      <c r="C208" s="98" t="str">
        <f t="array" ref="C208">IF($H208="","",INDEX('Jurnal Umum'!$B$6:$B$2564,$H208-5))</f>
        <v/>
      </c>
      <c r="D208" s="99" t="str">
        <f t="array" ref="D208">IF($H208="","",IF(INDEX('Jurnal Umum'!$F$6:$F$2564,$H208-5)="",0,INDEX('Jurnal Umum'!$F$6:$F$2564,$H208-5)))</f>
        <v/>
      </c>
      <c r="E208" s="99" t="str">
        <f t="array" ref="E208">IF($H208="","",IF(INDEX('Jurnal Umum'!$G$6:$G$2564,$H208-5)="",0,INDEX('Jurnal Umum'!$G$6:$G$2564,$H208-5)))</f>
        <v/>
      </c>
      <c r="F208" s="100" t="str">
        <f t="shared" si="1"/>
        <v/>
      </c>
      <c r="G208" s="80"/>
      <c r="H208" s="101" t="str">
        <f>IFERROR(MATCH($B$5&amp;"-"&amp;200,'Jurnal Umum'!$J$6:$J$909,0)+5,"")</f>
        <v/>
      </c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3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3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3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3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3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3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3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3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3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3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3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3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3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3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3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3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3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3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3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3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3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3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3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3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3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3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3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3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3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3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3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3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3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3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3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3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3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3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3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3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3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3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3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3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3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3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3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3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3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3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3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3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3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3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3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3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3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3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3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3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3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3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3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3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3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3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3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3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3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3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3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3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3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3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3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3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3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3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3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3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3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3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3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3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3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3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3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3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3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3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3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3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3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3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3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3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3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3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3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3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3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3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3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3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3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3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3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3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3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3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3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3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3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3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3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3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3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3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3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3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3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3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3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3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3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3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3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3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3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3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3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3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3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3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3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3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3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3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3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3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3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3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3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3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3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3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3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3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3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3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3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3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3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3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3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3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3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3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3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3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3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3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3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3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3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3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3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3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3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3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3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3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3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3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3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3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3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3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3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3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3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3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3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3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3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3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3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3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3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3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3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3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3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3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3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3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3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3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3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3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3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3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3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3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3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3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3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3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3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3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3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3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3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3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3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3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3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3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3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3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3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3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3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3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3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3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3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3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3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3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3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3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3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3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3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3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3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3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3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3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3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3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3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3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3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3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3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3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3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3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3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3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3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3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3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3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3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3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3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3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3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3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3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3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3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3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3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3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3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3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3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3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3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3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3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3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3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3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3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3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3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3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3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3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3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3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3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3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3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3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3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3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3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3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3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3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3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3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3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3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3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3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3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3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3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3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3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3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3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3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3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3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3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3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3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3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3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3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3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3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3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3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3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3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3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3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3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3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3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3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3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3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3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3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3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3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3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3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3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3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3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3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3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3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3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3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3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3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3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3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3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3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3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3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3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3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3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3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3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3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3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3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3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3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3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3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3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3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3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3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3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3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3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3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3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3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3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3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3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3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3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3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3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3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3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3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3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3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3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3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3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3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3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3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3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3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3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3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3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3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3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3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3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3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3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3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3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3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3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3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3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3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3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3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3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3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3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3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3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3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3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3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3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3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3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3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3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3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3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3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3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3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3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3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3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3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3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3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3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3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3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3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3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3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3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3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3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3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3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3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3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3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3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3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3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3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3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3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3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3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3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3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3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3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3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3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3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3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3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3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3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3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3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3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3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3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3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3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3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3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3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3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3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3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3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3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3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3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3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3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3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3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3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3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3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3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3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3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3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3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3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3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3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3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3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3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3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3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3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3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3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3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3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3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3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3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3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3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3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3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3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3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3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3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3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3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3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3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3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3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3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3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3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3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3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3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3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3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3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3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3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3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3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3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3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3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3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3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3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3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3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3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3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3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3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3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3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3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3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3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3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3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3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3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3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3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3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3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3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3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3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3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3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3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3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3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3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3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3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3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3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3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3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3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3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3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</sheetData>
  <mergeCells count="5">
    <mergeCell ref="A1:F1"/>
    <mergeCell ref="A2:F2"/>
    <mergeCell ref="A3:F3"/>
    <mergeCell ref="D5:F5"/>
    <mergeCell ref="D6:F6"/>
  </mergeCells>
  <dataValidations>
    <dataValidation type="list" allowBlank="1" sqref="B5">
      <formula1>'Daftar Akun'!$A$6:$A$103</formula1>
    </dataValidation>
  </dataValidations>
  <printOptions horizontalCentered="1"/>
  <pageMargins bottom="0.75" footer="0.0" header="0.0" left="0.7" right="0.7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34.0"/>
    <col customWidth="1" min="3" max="3" width="12.0"/>
    <col customWidth="1" min="4" max="4" width="11.0"/>
    <col customWidth="1" min="5" max="26" width="8.71"/>
  </cols>
  <sheetData>
    <row r="1" ht="21.75" customHeight="1">
      <c r="A1" s="1" t="s">
        <v>166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04" t="s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5" t="s">
        <v>167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23" t="s">
        <v>7</v>
      </c>
      <c r="B5" s="23" t="s">
        <v>11</v>
      </c>
      <c r="C5" s="23" t="s">
        <v>26</v>
      </c>
      <c r="D5" s="23" t="s">
        <v>28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7" t="s">
        <v>18</v>
      </c>
      <c r="B6" s="108" t="s">
        <v>22</v>
      </c>
      <c r="C6" s="109">
        <f>MAX(0,SUMIFS('Jurnal Umum'!$F$6:$F$909,'Jurnal Umum'!$D$6:$D$909,A6)-SUMIFS('Jurnal Umum'!$G$6:$G$909,'Jurnal Umum'!$D$6:$D$909,A6))</f>
        <v>2190500</v>
      </c>
      <c r="D6" s="110">
        <f>MAX(0,SUMIFS('Jurnal Umum'!$G$6:$G$909,'Jurnal Umum'!$D$6:$D$909,A6)-SUMIFS('Jurnal Umum'!$F$6:$F$909,'Jurnal Umum'!$D$6:$D$909,A6))</f>
        <v>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7" t="s">
        <v>33</v>
      </c>
      <c r="B7" s="108" t="s">
        <v>34</v>
      </c>
      <c r="C7" s="109">
        <f>MAX(0,SUMIFS('Jurnal Umum'!$F$6:$F$909,'Jurnal Umum'!$D$6:$D$909,A7)-SUMIFS('Jurnal Umum'!$G$6:$G$909,'Jurnal Umum'!$D$6:$D$909,A7))</f>
        <v>13450950</v>
      </c>
      <c r="D7" s="110">
        <f>MAX(0,SUMIFS('Jurnal Umum'!$G$6:$G$909,'Jurnal Umum'!$D$6:$D$909,A7)-SUMIFS('Jurnal Umum'!$F$6:$F$909,'Jurnal Umum'!$D$6:$D$909,A7))</f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07" t="s">
        <v>36</v>
      </c>
      <c r="B8" s="108" t="s">
        <v>37</v>
      </c>
      <c r="C8" s="109">
        <f>MAX(0,SUMIFS('Jurnal Umum'!$F$6:$F$909,'Jurnal Umum'!$D$6:$D$909,A8)-SUMIFS('Jurnal Umum'!$G$6:$G$909,'Jurnal Umum'!$D$6:$D$909,A8))</f>
        <v>35000</v>
      </c>
      <c r="D8" s="110">
        <f>MAX(0,SUMIFS('Jurnal Umum'!$G$6:$G$909,'Jurnal Umum'!$D$6:$D$909,A8)-SUMIFS('Jurnal Umum'!$F$6:$F$909,'Jurnal Umum'!$D$6:$D$909,A8))</f>
        <v>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7" t="s">
        <v>43</v>
      </c>
      <c r="B9" s="111" t="s">
        <v>44</v>
      </c>
      <c r="C9" s="109">
        <f>MAX(0,SUMIFS('Jurnal Umum'!$F$6:$F$909,'Jurnal Umum'!$D$6:$D$909,A9)-SUMIFS('Jurnal Umum'!$G$6:$G$909,'Jurnal Umum'!$D$6:$D$909,A9))</f>
        <v>9500</v>
      </c>
      <c r="D9" s="110">
        <f>MAX(0,SUMIFS('Jurnal Umum'!$G$6:$G$909,'Jurnal Umum'!$D$6:$D$909,A9)-SUMIFS('Jurnal Umum'!$F$6:$F$909,'Jurnal Umum'!$D$6:$D$909,A9))</f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07" t="s">
        <v>46</v>
      </c>
      <c r="B10" s="108" t="s">
        <v>47</v>
      </c>
      <c r="C10" s="109">
        <f>MAX(0,SUMIFS('Jurnal Umum'!$F$6:$F$909,'Jurnal Umum'!$D$6:$D$909,A10)-SUMIFS('Jurnal Umum'!$G$6:$G$909,'Jurnal Umum'!$D$6:$D$909,A10))</f>
        <v>0</v>
      </c>
      <c r="D10" s="110">
        <f>MAX(0,SUMIFS('Jurnal Umum'!$G$6:$G$909,'Jurnal Umum'!$D$6:$D$909,A10)-SUMIFS('Jurnal Umum'!$F$6:$F$909,'Jurnal Umum'!$D$6:$D$909,A10))</f>
        <v>2911611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7" t="s">
        <v>51</v>
      </c>
      <c r="B11" s="111" t="s">
        <v>52</v>
      </c>
      <c r="C11" s="109">
        <f>MAX(0,SUMIFS('Jurnal Umum'!$F$6:$F$909,'Jurnal Umum'!$D$6:$D$909,A11)-SUMIFS('Jurnal Umum'!$G$6:$G$909,'Jurnal Umum'!$D$6:$D$909,A11))</f>
        <v>0</v>
      </c>
      <c r="D11" s="110">
        <f>MAX(0,SUMIFS('Jurnal Umum'!$G$6:$G$909,'Jurnal Umum'!$D$6:$D$909,A11)-SUMIFS('Jurnal Umum'!$F$6:$F$909,'Jurnal Umum'!$D$6:$D$909,A11))</f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7" t="s">
        <v>67</v>
      </c>
      <c r="B12" s="108" t="s">
        <v>177</v>
      </c>
      <c r="C12" s="109">
        <f>MAX(0,SUMIFS('Jurnal Umum'!$F$6:$F$909,'Jurnal Umum'!$D$6:$D$909,A12)-SUMIFS('Jurnal Umum'!$G$6:$G$909,'Jurnal Umum'!$D$6:$D$909,A12))</f>
        <v>0</v>
      </c>
      <c r="D12" s="110">
        <f>MAX(0,SUMIFS('Jurnal Umum'!$G$6:$G$909,'Jurnal Umum'!$D$6:$D$909,A12)-SUMIFS('Jurnal Umum'!$F$6:$F$909,'Jurnal Umum'!$D$6:$D$909,A12))</f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7" t="s">
        <v>73</v>
      </c>
      <c r="B13" s="108" t="s">
        <v>74</v>
      </c>
      <c r="C13" s="109">
        <f>MAX(0,SUMIFS('Jurnal Umum'!$F$6:$F$909,'Jurnal Umum'!$D$6:$D$909,A13)-SUMIFS('Jurnal Umum'!$G$6:$G$909,'Jurnal Umum'!$D$6:$D$909,A13))</f>
        <v>0</v>
      </c>
      <c r="D13" s="110">
        <f>MAX(0,SUMIFS('Jurnal Umum'!$G$6:$G$909,'Jurnal Umum'!$D$6:$D$909,A13)-SUMIFS('Jurnal Umum'!$F$6:$F$909,'Jurnal Umum'!$D$6:$D$909,A13))</f>
        <v>61870000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07" t="s">
        <v>77</v>
      </c>
      <c r="B14" s="108" t="s">
        <v>78</v>
      </c>
      <c r="C14" s="109">
        <f>MAX(0,SUMIFS('Jurnal Umum'!$F$6:$F$909,'Jurnal Umum'!$D$6:$D$909,A14)-SUMIFS('Jurnal Umum'!$G$6:$G$909,'Jurnal Umum'!$D$6:$D$909,A14))</f>
        <v>0</v>
      </c>
      <c r="D14" s="110">
        <f>MAX(0,SUMIFS('Jurnal Umum'!$G$6:$G$909,'Jurnal Umum'!$D$6:$D$909,A14)-SUMIFS('Jurnal Umum'!$F$6:$F$909,'Jurnal Umum'!$D$6:$D$909,A14))</f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7" t="s">
        <v>80</v>
      </c>
      <c r="B15" s="108" t="s">
        <v>81</v>
      </c>
      <c r="C15" s="109">
        <f>MAX(0,SUMIFS('Jurnal Umum'!$F$6:$F$909,'Jurnal Umum'!$D$6:$D$909,A15)-SUMIFS('Jurnal Umum'!$G$6:$G$909,'Jurnal Umum'!$D$6:$D$909,A15))</f>
        <v>0</v>
      </c>
      <c r="D15" s="110">
        <f>MAX(0,SUMIFS('Jurnal Umum'!$G$6:$G$909,'Jurnal Umum'!$D$6:$D$909,A15)-SUMIFS('Jurnal Umum'!$F$6:$F$909,'Jurnal Umum'!$D$6:$D$909,A15))</f>
        <v>55819250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07" t="s">
        <v>93</v>
      </c>
      <c r="B16" s="108" t="s">
        <v>94</v>
      </c>
      <c r="C16" s="109">
        <f>MAX(0,SUMIFS('Jurnal Umum'!$F$6:$F$909,'Jurnal Umum'!$D$6:$D$909,A16)-SUMIFS('Jurnal Umum'!$G$6:$G$909,'Jurnal Umum'!$D$6:$D$909,A16))</f>
        <v>38700000</v>
      </c>
      <c r="D16" s="110">
        <f>MAX(0,SUMIFS('Jurnal Umum'!$G$6:$G$909,'Jurnal Umum'!$D$6:$D$909,A16)-SUMIFS('Jurnal Umum'!$F$6:$F$909,'Jurnal Umum'!$D$6:$D$909,A16))</f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7" t="s">
        <v>96</v>
      </c>
      <c r="B17" s="108" t="s">
        <v>98</v>
      </c>
      <c r="C17" s="109">
        <f>MAX(0,SUMIFS('Jurnal Umum'!$F$6:$F$909,'Jurnal Umum'!$D$6:$D$909,A17)-SUMIFS('Jurnal Umum'!$G$6:$G$909,'Jurnal Umum'!$D$6:$D$909,A17))</f>
        <v>0</v>
      </c>
      <c r="D17" s="110">
        <f>MAX(0,SUMIFS('Jurnal Umum'!$G$6:$G$909,'Jurnal Umum'!$D$6:$D$909,A17)-SUMIFS('Jurnal Umum'!$F$6:$F$909,'Jurnal Umum'!$D$6:$D$909,A17))</f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7" t="s">
        <v>100</v>
      </c>
      <c r="B18" s="108" t="s">
        <v>101</v>
      </c>
      <c r="C18" s="109">
        <f>MAX(0,SUMIFS('Jurnal Umum'!$F$6:$F$909,'Jurnal Umum'!$D$6:$D$909,A18)-SUMIFS('Jurnal Umum'!$G$6:$G$909,'Jurnal Umum'!$D$6:$D$909,A18))</f>
        <v>282500</v>
      </c>
      <c r="D18" s="110">
        <f>MAX(0,SUMIFS('Jurnal Umum'!$G$6:$G$909,'Jurnal Umum'!$D$6:$D$909,A18)-SUMIFS('Jurnal Umum'!$F$6:$F$909,'Jurnal Umum'!$D$6:$D$909,A18))</f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7" t="s">
        <v>105</v>
      </c>
      <c r="B19" s="108" t="s">
        <v>106</v>
      </c>
      <c r="C19" s="109">
        <f>MAX(0,SUMIFS('Jurnal Umum'!$F$6:$F$909,'Jurnal Umum'!$D$6:$D$909,A19)-SUMIFS('Jurnal Umum'!$G$6:$G$909,'Jurnal Umum'!$D$6:$D$909,A19))</f>
        <v>11936200</v>
      </c>
      <c r="D19" s="110">
        <f>MAX(0,SUMIFS('Jurnal Umum'!$G$6:$G$909,'Jurnal Umum'!$D$6:$D$909,A19)-SUMIFS('Jurnal Umum'!$F$6:$F$909,'Jurnal Umum'!$D$6:$D$909,A19))</f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7" t="s">
        <v>108</v>
      </c>
      <c r="B20" s="108" t="s">
        <v>109</v>
      </c>
      <c r="C20" s="109">
        <f>MAX(0,SUMIFS('Jurnal Umum'!$F$6:$F$909,'Jurnal Umum'!$D$6:$D$909,A20)-SUMIFS('Jurnal Umum'!$G$6:$G$909,'Jurnal Umum'!$D$6:$D$909,A20))</f>
        <v>0</v>
      </c>
      <c r="D20" s="110">
        <f>MAX(0,SUMIFS('Jurnal Umum'!$G$6:$G$909,'Jurnal Umum'!$D$6:$D$909,A20)-SUMIFS('Jurnal Umum'!$F$6:$F$909,'Jurnal Umum'!$D$6:$D$909,A20))</f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7" t="s">
        <v>110</v>
      </c>
      <c r="B21" s="111" t="s">
        <v>111</v>
      </c>
      <c r="C21" s="109">
        <f>MAX(0,SUMIFS('Jurnal Umum'!$F$6:$F$909,'Jurnal Umum'!$D$6:$D$909,A21)-SUMIFS('Jurnal Umum'!$G$6:$G$909,'Jurnal Umum'!$D$6:$D$909,A21))</f>
        <v>678000</v>
      </c>
      <c r="D21" s="110">
        <f>MAX(0,SUMIFS('Jurnal Umum'!$G$6:$G$909,'Jurnal Umum'!$D$6:$D$909,A21)-SUMIFS('Jurnal Umum'!$F$6:$F$909,'Jurnal Umum'!$D$6:$D$909,A21))</f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7" t="s">
        <v>112</v>
      </c>
      <c r="B22" s="108" t="s">
        <v>186</v>
      </c>
      <c r="C22" s="109">
        <f>MAX(0,SUMIFS('Jurnal Umum'!$F$6:$F$909,'Jurnal Umum'!$D$6:$D$909,A22)-SUMIFS('Jurnal Umum'!$G$6:$G$909,'Jurnal Umum'!$D$6:$D$909,A22))</f>
        <v>0</v>
      </c>
      <c r="D22" s="110">
        <f>MAX(0,SUMIFS('Jurnal Umum'!$G$6:$G$909,'Jurnal Umum'!$D$6:$D$909,A22)-SUMIFS('Jurnal Umum'!$F$6:$F$909,'Jurnal Umum'!$D$6:$D$909,A22))</f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7" t="s">
        <v>114</v>
      </c>
      <c r="B23" s="108" t="s">
        <v>115</v>
      </c>
      <c r="C23" s="109">
        <f>MAX(0,SUMIFS('Jurnal Umum'!$F$6:$F$909,'Jurnal Umum'!$D$6:$D$909,A23)-SUMIFS('Jurnal Umum'!$G$6:$G$909,'Jurnal Umum'!$D$6:$D$909,A23))</f>
        <v>2911611</v>
      </c>
      <c r="D23" s="110">
        <f>MAX(0,SUMIFS('Jurnal Umum'!$G$6:$G$909,'Jurnal Umum'!$D$6:$D$909,A23)-SUMIFS('Jurnal Umum'!$F$6:$F$909,'Jurnal Umum'!$D$6:$D$909,A23))</f>
        <v>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7" t="s">
        <v>116</v>
      </c>
      <c r="B24" s="108" t="s">
        <v>117</v>
      </c>
      <c r="C24" s="109">
        <f>MAX(0,SUMIFS('Jurnal Umum'!$F$6:$F$909,'Jurnal Umum'!$D$6:$D$909,A24)-SUMIFS('Jurnal Umum'!$G$6:$G$909,'Jurnal Umum'!$D$6:$D$909,A24))</f>
        <v>1115000</v>
      </c>
      <c r="D24" s="110">
        <f>MAX(0,SUMIFS('Jurnal Umum'!$G$6:$G$909,'Jurnal Umum'!$D$6:$D$909,A24)-SUMIFS('Jurnal Umum'!$F$6:$F$909,'Jurnal Umum'!$D$6:$D$909,A24))</f>
        <v>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7" t="s">
        <v>83</v>
      </c>
      <c r="B25" s="108" t="s">
        <v>85</v>
      </c>
      <c r="C25" s="109">
        <f>MAX(0,SUMIFS('Jurnal Umum'!$F$6:$F$909,'Jurnal Umum'!$D$6:$D$909,A25)-SUMIFS('Jurnal Umum'!$G$6:$G$909,'Jurnal Umum'!$D$6:$D$909,A25))</f>
        <v>0</v>
      </c>
      <c r="D25" s="110">
        <f>MAX(0,SUMIFS('Jurnal Umum'!$G$6:$G$909,'Jurnal Umum'!$D$6:$D$909,A25)-SUMIFS('Jurnal Umum'!$F$6:$F$909,'Jurnal Umum'!$D$6:$D$909,A25))</f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32">
        <v>1108.0</v>
      </c>
      <c r="B26" s="111" t="s">
        <v>55</v>
      </c>
      <c r="C26" s="109">
        <f>MAX(0,SUMIFS('Jurnal Umum'!$F$6:$F$909,'Jurnal Umum'!$D$6:$D$909,A26)-SUMIFS('Jurnal Umum'!$G$6:$G$909,'Jurnal Umum'!$D$6:$D$909,A26))</f>
        <v>351000</v>
      </c>
      <c r="D26" s="110">
        <f>MAX(0,SUMIFS('Jurnal Umum'!$G$6:$G$909,'Jurnal Umum'!$D$6:$D$909,A26)-SUMIFS('Jurnal Umum'!$F$6:$F$909,'Jurnal Umum'!$D$6:$D$909,A26))</f>
        <v>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32">
        <v>6107.0</v>
      </c>
      <c r="B27" s="111" t="s">
        <v>119</v>
      </c>
      <c r="C27" s="109">
        <f>MAX(0,SUMIFS('Jurnal Umum'!$F$6:$F$909,'Jurnal Umum'!$D$6:$D$909,A27)-SUMIFS('Jurnal Umum'!$G$6:$G$909,'Jurnal Umum'!$D$6:$D$909,A27))</f>
        <v>945000</v>
      </c>
      <c r="D27" s="110">
        <f>MAX(0,SUMIFS('Jurnal Umum'!$G$6:$G$909,'Jurnal Umum'!$D$6:$D$909,A27)-SUMIFS('Jurnal Umum'!$F$6:$F$909,'Jurnal Umum'!$D$6:$D$909,A27))</f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33">
        <v>6108.0</v>
      </c>
      <c r="B28" s="134" t="s">
        <v>122</v>
      </c>
      <c r="C28" s="109">
        <f>MAX(0,SUMIFS('Jurnal Umum'!$F$6:$F$909,'Jurnal Umum'!$D$6:$D$909,A28)-SUMIFS('Jurnal Umum'!$G$6:$G$909,'Jurnal Umum'!$D$6:$D$909,A28))</f>
        <v>2659600</v>
      </c>
      <c r="D28" s="110">
        <f>MAX(0,SUMIFS('Jurnal Umum'!$G$6:$G$909,'Jurnal Umum'!$D$6:$D$909,A28)-SUMIFS('Jurnal Umum'!$F$6:$F$909,'Jurnal Umum'!$D$6:$D$909,A28))</f>
        <v>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35">
        <v>1109.0</v>
      </c>
      <c r="B29" s="136" t="s">
        <v>58</v>
      </c>
      <c r="C29" s="137">
        <f>MAX(0,SUMIFS('Jurnal Umum'!$F$6:$F$909,'Jurnal Umum'!$D$6:$D$909,A29)-SUMIFS('Jurnal Umum'!$G$6:$G$909,'Jurnal Umum'!$D$6:$D$909,A29))</f>
        <v>33060000</v>
      </c>
      <c r="D29" s="110">
        <f>MAX(0,SUMIFS('Jurnal Umum'!$G$6:$G$909,'Jurnal Umum'!$D$6:$D$909,A29)-SUMIFS('Jurnal Umum'!$F$6:$F$909,'Jurnal Umum'!$D$6:$D$909,A29))</f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35">
        <v>4103.0</v>
      </c>
      <c r="B30" s="136" t="s">
        <v>88</v>
      </c>
      <c r="C30" s="137">
        <f>MAX(0,SUMIFS('Jurnal Umum'!$F$6:$F$909,'Jurnal Umum'!$D$6:$D$909,A30)-SUMIFS('Jurnal Umum'!$G$6:$G$909,'Jurnal Umum'!$D$6:$D$909,A30))</f>
        <v>0</v>
      </c>
      <c r="D30" s="110">
        <f>MAX(0,SUMIFS('Jurnal Umum'!$G$6:$G$909,'Jurnal Umum'!$D$6:$D$909,A30)-SUMIFS('Jurnal Umum'!$F$6:$F$909,'Jurnal Umum'!$D$6:$D$909,A30))</f>
        <v>363000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35">
        <v>1110.0</v>
      </c>
      <c r="B31" s="136" t="s">
        <v>61</v>
      </c>
      <c r="C31" s="137">
        <f>MAX(0,SUMIFS('Jurnal Umum'!$F$6:$F$909,'Jurnal Umum'!$D$6:$D$909,A31)-SUMIFS('Jurnal Umum'!$G$6:$G$909,'Jurnal Umum'!$D$6:$D$909,A31))</f>
        <v>9200000</v>
      </c>
      <c r="D31" s="110">
        <f>MAX(0,SUMIFS('Jurnal Umum'!$G$6:$G$909,'Jurnal Umum'!$D$6:$D$909,A31)-SUMIFS('Jurnal Umum'!$F$6:$F$909,'Jurnal Umum'!$D$6:$D$909,A31))</f>
        <v>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35">
        <v>4104.0</v>
      </c>
      <c r="B32" s="136" t="s">
        <v>90</v>
      </c>
      <c r="C32" s="137">
        <f>MAX(0,SUMIFS('Jurnal Umum'!$F$6:$F$909,'Jurnal Umum'!$D$6:$D$909,A32)-SUMIFS('Jurnal Umum'!$G$6:$G$909,'Jurnal Umum'!$D$6:$D$909,A32))</f>
        <v>0</v>
      </c>
      <c r="D32" s="110">
        <f>MAX(0,SUMIFS('Jurnal Umum'!$G$6:$G$909,'Jurnal Umum'!$D$6:$D$909,A32)-SUMIFS('Jurnal Umum'!$F$6:$F$909,'Jurnal Umum'!$D$6:$D$909,A32))</f>
        <v>95000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35">
        <v>6109.0</v>
      </c>
      <c r="B33" s="136" t="s">
        <v>124</v>
      </c>
      <c r="C33" s="137">
        <f>MAX(0,SUMIFS('Jurnal Umum'!$F$6:$F$909,'Jurnal Umum'!$D$6:$D$909,A33)-SUMIFS('Jurnal Umum'!$G$6:$G$909,'Jurnal Umum'!$D$6:$D$909,A33))</f>
        <v>0</v>
      </c>
      <c r="D33" s="110">
        <f>MAX(0,SUMIFS('Jurnal Umum'!$G$6:$G$909,'Jurnal Umum'!$D$6:$D$909,A33)-SUMIFS('Jurnal Umum'!$F$6:$F$909,'Jurnal Umum'!$D$6:$D$909,A33))</f>
        <v>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38">
        <v>1111.0</v>
      </c>
      <c r="B34" s="139" t="s">
        <v>64</v>
      </c>
      <c r="C34" s="140">
        <f>MAX(0,SUMIFS('Jurnal Umum'!$F$6:$F$909,'Jurnal Umum'!$D$6:$D$909,A34)-SUMIFS('Jurnal Umum'!$G$6:$G$909,'Jurnal Umum'!$D$6:$D$909,A34))</f>
        <v>0</v>
      </c>
      <c r="D34" s="141">
        <f>MAX(0,SUMIFS('Jurnal Umum'!$G$6:$G$909,'Jurnal Umum'!$D$6:$D$909,A34)-SUMIFS('Jurnal Umum'!$F$6:$F$909,'Jurnal Umum'!$D$6:$D$909,A34))</f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42">
        <v>6110.0</v>
      </c>
      <c r="B35" s="143" t="s">
        <v>127</v>
      </c>
      <c r="C35" s="144">
        <f>MAX(0,SUMIFS('Jurnal Umum'!$F$6:$F$909,'Jurnal Umum'!$D$6:$D$909,A35)-SUMIFS('Jurnal Umum'!$G$6:$G$909,'Jurnal Umum'!$D$6:$D$909,A35))</f>
        <v>1000000</v>
      </c>
      <c r="D35" s="145">
        <f>MAX(0,SUMIFS('Jurnal Umum'!$G$6:$G$909,'Jurnal Umum'!$D$6:$D$909,A35)-SUMIFS('Jurnal Umum'!$F$6:$F$909,'Jurnal Umum'!$D$6:$D$909,A35))</f>
        <v>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46">
        <v>1104.0</v>
      </c>
      <c r="B36" s="147" t="s">
        <v>206</v>
      </c>
      <c r="C36" s="144">
        <f>MAX(0,SUMIFS('Jurnal Umum'!$F$6:$F$909,'Jurnal Umum'!$D$6:$D$909,A36)-SUMIFS('Jurnal Umum'!$G$6:$G$909,'Jurnal Umum'!$D$6:$D$909,A36))</f>
        <v>2534000</v>
      </c>
      <c r="D36" s="145">
        <f>MAX(0,SUMIFS('Jurnal Umum'!$G$6:$G$909,'Jurnal Umum'!$D$6:$D$909,A36)-SUMIFS('Jurnal Umum'!$F$6:$F$909,'Jurnal Umum'!$D$6:$D$909,A36))</f>
        <v>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46">
        <v>2102.0</v>
      </c>
      <c r="B37" s="147" t="s">
        <v>72</v>
      </c>
      <c r="C37" s="144">
        <f>MAX(0,SUMIFS('Jurnal Umum'!$F$6:$F$909,'Jurnal Umum'!$D$6:$D$909,A37)-SUMIFS('Jurnal Umum'!$G$6:$G$909,'Jurnal Umum'!$D$6:$D$909,A37))</f>
        <v>0</v>
      </c>
      <c r="D37" s="145">
        <f>MAX(0,SUMIFS('Jurnal Umum'!$G$6:$G$909,'Jurnal Umum'!$D$6:$D$909,A37)-SUMIFS('Jurnal Umum'!$F$6:$F$909,'Jurnal Umum'!$D$6:$D$909,A37))</f>
        <v>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46">
        <v>1112.0</v>
      </c>
      <c r="B38" s="147" t="s">
        <v>66</v>
      </c>
      <c r="C38" s="144">
        <f>MAX(0,SUMIFS('Jurnal Umum'!$F$6:$F$909,'Jurnal Umum'!$D$6:$D$909,A38)-SUMIFS('Jurnal Umum'!$G$6:$G$909,'Jurnal Umum'!$D$6:$D$909,A38))</f>
        <v>0</v>
      </c>
      <c r="D38" s="145">
        <f>MAX(0,SUMIFS('Jurnal Umum'!$G$6:$G$909,'Jurnal Umum'!$D$6:$D$909,A38)-SUMIFS('Jurnal Umum'!$F$6:$F$909,'Jurnal Umum'!$D$6:$D$909,A38))</f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48"/>
      <c r="B39" s="149" t="s">
        <v>211</v>
      </c>
      <c r="C39" s="150">
        <f t="shared" ref="C39:D39" si="1">SUM(C6:C36)</f>
        <v>121058861</v>
      </c>
      <c r="D39" s="150">
        <f t="shared" si="1"/>
        <v>121058861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06"/>
      <c r="B40" s="151" t="str">
        <f>IF(C39=D39,"Seimbang (Debit = Kredit)","TIDAK SEIMBANG - cek Buku Besar!")</f>
        <v>Seimbang (Debit = Kredit)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0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52" t="s">
        <v>39</v>
      </c>
      <c r="B42" s="153" t="s">
        <v>214</v>
      </c>
      <c r="C42" s="154">
        <v>5852000.0</v>
      </c>
      <c r="D42" s="15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0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0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0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0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0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0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0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0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0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0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0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0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0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0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0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10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0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0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10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0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0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0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10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0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0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10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0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0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10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0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10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0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10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0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0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0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0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0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0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0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0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0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0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10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0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0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0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0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0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0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0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0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0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0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10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0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0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0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0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0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0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0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0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0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0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0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0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0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0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0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0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0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0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0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0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0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0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0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10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0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10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0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10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0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0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10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0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10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0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10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0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0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10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0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10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0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10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0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10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0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0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0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10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0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10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0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0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0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0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0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0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0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10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0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10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0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0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0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10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0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0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0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0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0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10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0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10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0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0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0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10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0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0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0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10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0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10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0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10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0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10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0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0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0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10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0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0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0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10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0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10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0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10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0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10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0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0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10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0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10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0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10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10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0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10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10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10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10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10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10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0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10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10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10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10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0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10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10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10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10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10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10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10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0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0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0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0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0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0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0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0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0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0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0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0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0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0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0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0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10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10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0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0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0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0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0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0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0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0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0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0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0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0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0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0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0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0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0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0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0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0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0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0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0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0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0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0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0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0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0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0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0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0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0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0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0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0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0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0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0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0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0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0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0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0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0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0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0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0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0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0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0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0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0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0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0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0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0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0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0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0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0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0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0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0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0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0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0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0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0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0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0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0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0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0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0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0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0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0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0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0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0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0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0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0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0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0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0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0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0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0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0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0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0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0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0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0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0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0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0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0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0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0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0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0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0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0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0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0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0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0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0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0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0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0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0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0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0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0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0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0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0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0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0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0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0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0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0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0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0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0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0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0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0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0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0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0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0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0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0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0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0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0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0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0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0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0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0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0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0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0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0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0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0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0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0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0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0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0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0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0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0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0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0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0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0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0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0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0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0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0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0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0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0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0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0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0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0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0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0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0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0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0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0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0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0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0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0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0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0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0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0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0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0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0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0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0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0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0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0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0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0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0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0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0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0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0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0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0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0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0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0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0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0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0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0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0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0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0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0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0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0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0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0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0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0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0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0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0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0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0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0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0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0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0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0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0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0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0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0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0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0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0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0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0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0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0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0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0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0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0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0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0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0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0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0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0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0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0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0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0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0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0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0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0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0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0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0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0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0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0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0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0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0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0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0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0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0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0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0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0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0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0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0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0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0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0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0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0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0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0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0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0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0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0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0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0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0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0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0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0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0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0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0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0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0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0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0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0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0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0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0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0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0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0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0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0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0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0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0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0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0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0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0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0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0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0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0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0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0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0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0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0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0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0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0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0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0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0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0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0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0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0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0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0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0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0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0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0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0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0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0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0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0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0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0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0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0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0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0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0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0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0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0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0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0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0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0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0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0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0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0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0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0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0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0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0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0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0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0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0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0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0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0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0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0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0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0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0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0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0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0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0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0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0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0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0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0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0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0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0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0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0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0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0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0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0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0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0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0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0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0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0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0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0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0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0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0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0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0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0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0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0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0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0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0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0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0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0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0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0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0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0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0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0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0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0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0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0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0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0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0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0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0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0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0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0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0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0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0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0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0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0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0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0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0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0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0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0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0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0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0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0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0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0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0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0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0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0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0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0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0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0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0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0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0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0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0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0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0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0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0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0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0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0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0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0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0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0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0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0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0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0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0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0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0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0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0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0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0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0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0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0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0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0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0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0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0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0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0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0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0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0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0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0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0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0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0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0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0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0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0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0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0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0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0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0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0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0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0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0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0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0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0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0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0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0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0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0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0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0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0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0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0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0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0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0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0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0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0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0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0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0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0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0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0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0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0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0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0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0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0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0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0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0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0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0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0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0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0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0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0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0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0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0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0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0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0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0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0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0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0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0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0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0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0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0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0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0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0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0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0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0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0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0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0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0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0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0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0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0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0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0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0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0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0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0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0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0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0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0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0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0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0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0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0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0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0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0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0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0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0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0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0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0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0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0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0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0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0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0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0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0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0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0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0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0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0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0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0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0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0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0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0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0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0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0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0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0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0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0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0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0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0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0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0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0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0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0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0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0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0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0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0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0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0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0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0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0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0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0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0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0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0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0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0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0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0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0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0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0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0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0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0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0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0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0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0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0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0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0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0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0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0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0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0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0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0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0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0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0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0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0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0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0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0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0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0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0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0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0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0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0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0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0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0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0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0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0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0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0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0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0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0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0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0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0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0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0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0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0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0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0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0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0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0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0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0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0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0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0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0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0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0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0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0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0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0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0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0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0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0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0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0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0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0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10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10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10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10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10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10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10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10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10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10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10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10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10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</sheetData>
  <mergeCells count="3">
    <mergeCell ref="A1:D1"/>
    <mergeCell ref="A2:D2"/>
    <mergeCell ref="A3:D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3" width="23.0"/>
    <col customWidth="1" min="4" max="4" width="28.14"/>
    <col customWidth="1" min="5" max="26" width="8.71"/>
  </cols>
  <sheetData>
    <row r="1" ht="21.75" customHeight="1">
      <c r="A1" s="1" t="s">
        <v>1</v>
      </c>
      <c r="D1" s="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04" t="s">
        <v>2</v>
      </c>
      <c r="D2" s="10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56" t="s">
        <v>263</v>
      </c>
      <c r="D3" s="10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7" t="s">
        <v>264</v>
      </c>
      <c r="B5" s="7"/>
      <c r="C5" s="158"/>
      <c r="D5" s="15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60" t="s">
        <v>81</v>
      </c>
      <c r="C6" s="161">
        <f>'Neraca Saldo'!C15+'Neraca Saldo'!D15</f>
        <v>55819250</v>
      </c>
      <c r="D6" s="16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160" t="s">
        <v>85</v>
      </c>
      <c r="C7" s="161">
        <f>-('Neraca Saldo'!C25+'Neraca Saldo'!D25)</f>
        <v>0</v>
      </c>
      <c r="D7" s="16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49" t="s">
        <v>49</v>
      </c>
      <c r="C8" s="163">
        <f>C6+C7</f>
        <v>55819250</v>
      </c>
      <c r="D8" s="16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162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4" t="s">
        <v>267</v>
      </c>
      <c r="B10" s="7"/>
      <c r="C10" s="158"/>
      <c r="D10" s="159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60" t="s">
        <v>94</v>
      </c>
      <c r="C11" s="161">
        <f>'Neraca Saldo'!C16+'Neraca Saldo'!D16</f>
        <v>38700000</v>
      </c>
      <c r="D11" s="162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60" t="s">
        <v>98</v>
      </c>
      <c r="C12" s="161">
        <f>-('Neraca Saldo'!C17+'Neraca Saldo'!D17)</f>
        <v>0</v>
      </c>
      <c r="D12" s="162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49" t="s">
        <v>269</v>
      </c>
      <c r="C13" s="163">
        <f>C11+C12</f>
        <v>38700000</v>
      </c>
      <c r="D13" s="16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60" t="s">
        <v>101</v>
      </c>
      <c r="C14" s="161">
        <f>'Neraca Saldo'!C18+'Neraca Saldo'!D18</f>
        <v>282500</v>
      </c>
      <c r="D14" s="162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65" t="s">
        <v>271</v>
      </c>
      <c r="C15" s="161">
        <f>'Neraca Saldo'!C36+'Neraca Saldo'!D36</f>
        <v>2534000</v>
      </c>
      <c r="D15" s="16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49" t="s">
        <v>272</v>
      </c>
      <c r="C16" s="163">
        <f>C15+C13+C14</f>
        <v>41516500</v>
      </c>
      <c r="D16" s="162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60" t="s">
        <v>273</v>
      </c>
      <c r="C17" s="161">
        <f>-('Neraca Saldo'!C42+'Neraca Saldo'!D42)</f>
        <v>-5852000</v>
      </c>
      <c r="D17" s="16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49" t="s">
        <v>56</v>
      </c>
      <c r="C18" s="163">
        <f>C16+C17</f>
        <v>35664500</v>
      </c>
      <c r="D18" s="16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162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57" t="s">
        <v>274</v>
      </c>
      <c r="B20" s="7"/>
      <c r="C20" s="166">
        <f>C8-C18</f>
        <v>20154750</v>
      </c>
      <c r="D20" s="159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16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64" t="s">
        <v>276</v>
      </c>
      <c r="B22" s="7"/>
      <c r="C22" s="158"/>
      <c r="D22" s="159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160" t="s">
        <v>106</v>
      </c>
      <c r="C23" s="161">
        <f>'Neraca Saldo'!C19+'Neraca Saldo'!D19</f>
        <v>11936200</v>
      </c>
      <c r="D23" s="162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160" t="s">
        <v>109</v>
      </c>
      <c r="C24" s="161">
        <f>'Neraca Saldo'!C20+'Neraca Saldo'!D20</f>
        <v>0</v>
      </c>
      <c r="D24" s="16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165" t="s">
        <v>111</v>
      </c>
      <c r="C25" s="161">
        <f>'Neraca Saldo'!C21+'Neraca Saldo'!D21</f>
        <v>678000</v>
      </c>
      <c r="D25" s="16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165" t="s">
        <v>113</v>
      </c>
      <c r="C26" s="161">
        <f>'Neraca Saldo'!C22+'Neraca Saldo'!D22</f>
        <v>0</v>
      </c>
      <c r="D26" s="162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160" t="s">
        <v>115</v>
      </c>
      <c r="C27" s="161">
        <f>'Neraca Saldo'!C23+'Neraca Saldo'!D23</f>
        <v>2911611</v>
      </c>
      <c r="D27" s="16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160" t="s">
        <v>117</v>
      </c>
      <c r="C28" s="161">
        <f>'Neraca Saldo'!C24+'Neraca Saldo'!D24</f>
        <v>1115000</v>
      </c>
      <c r="D28" s="16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165" t="s">
        <v>119</v>
      </c>
      <c r="C29" s="161">
        <f>'Neraca Saldo'!C27+'Neraca Saldo'!D27</f>
        <v>945000</v>
      </c>
      <c r="D29" s="16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165" t="s">
        <v>124</v>
      </c>
      <c r="C30" s="161">
        <f>'Neraca Saldo'!C33+'Neraca Saldo'!D33</f>
        <v>0</v>
      </c>
      <c r="D30" s="16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165" t="s">
        <v>122</v>
      </c>
      <c r="C31" s="161">
        <f>'Neraca Saldo'!C28+'Neraca Saldo'!D28</f>
        <v>2659600</v>
      </c>
      <c r="D31" s="16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165" t="s">
        <v>127</v>
      </c>
      <c r="C32" s="161">
        <f>'Neraca Saldo'!C35+'Neraca Saldo'!D35</f>
        <v>1000000</v>
      </c>
      <c r="D32" s="16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0" customHeight="1">
      <c r="A33" s="6"/>
      <c r="B33" s="149" t="s">
        <v>68</v>
      </c>
      <c r="C33" s="163">
        <f>SUM(C23:C32)</f>
        <v>21245411</v>
      </c>
      <c r="D33" s="16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16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67" t="s">
        <v>279</v>
      </c>
      <c r="B35" s="7"/>
      <c r="C35" s="168">
        <f>C20-C33</f>
        <v>-1090661</v>
      </c>
      <c r="D35" s="159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162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69" t="s">
        <v>280</v>
      </c>
      <c r="C37" s="170"/>
      <c r="D37" s="17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75" t="s">
        <v>282</v>
      </c>
      <c r="C38" s="161">
        <f>'Neraca Saldo'!C30+'Neraca Saldo'!D30</f>
        <v>363000</v>
      </c>
      <c r="D38" s="16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75" t="s">
        <v>90</v>
      </c>
      <c r="C39" s="161">
        <f>'Neraca Saldo'!C32+'Neraca Saldo'!D32</f>
        <v>95000</v>
      </c>
      <c r="D39" s="16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75" t="s">
        <v>283</v>
      </c>
      <c r="C40" s="172">
        <f>SUM(C38:C39)</f>
        <v>458000</v>
      </c>
      <c r="D40" s="162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16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69" t="s">
        <v>9</v>
      </c>
      <c r="C42" s="173">
        <f>C35+C40</f>
        <v>-632661</v>
      </c>
      <c r="D42" s="17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3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3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</sheetData>
  <mergeCells count="10">
    <mergeCell ref="A35:B35"/>
    <mergeCell ref="A37:B37"/>
    <mergeCell ref="A42:B42"/>
    <mergeCell ref="A1:C1"/>
    <mergeCell ref="A2:C2"/>
    <mergeCell ref="A3:C3"/>
    <mergeCell ref="A5:B5"/>
    <mergeCell ref="A10:B10"/>
    <mergeCell ref="A20:B20"/>
    <mergeCell ref="A22:B22"/>
  </mergeCells>
  <printOptions horizontalCentered="1"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8.0"/>
    <col customWidth="1" min="5" max="26" width="8.71"/>
  </cols>
  <sheetData>
    <row r="1" ht="21.75" customHeight="1">
      <c r="A1" s="175" t="s">
        <v>1</v>
      </c>
      <c r="D1" s="175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15.75" customHeight="1">
      <c r="A2" s="176" t="s">
        <v>2</v>
      </c>
      <c r="D2" s="176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>
      <c r="A3" s="177" t="s">
        <v>375</v>
      </c>
      <c r="D3" s="178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>
      <c r="A5" s="179" t="s">
        <v>376</v>
      </c>
      <c r="B5" s="180"/>
      <c r="C5" s="180"/>
      <c r="D5" s="181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>
      <c r="A6" s="86" t="s">
        <v>29</v>
      </c>
      <c r="B6" s="80"/>
      <c r="C6" s="80"/>
      <c r="D6" s="182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>
      <c r="A7" s="80"/>
      <c r="B7" s="183" t="s">
        <v>22</v>
      </c>
      <c r="C7" s="184">
        <f>'Neraca Saldo'!C6+'Neraca Saldo'!D6</f>
        <v>2190500</v>
      </c>
      <c r="D7" s="182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>
      <c r="A8" s="80"/>
      <c r="B8" s="183" t="s">
        <v>34</v>
      </c>
      <c r="C8" s="184">
        <f>'Neraca Saldo'!C7+'Neraca Saldo'!D7</f>
        <v>13450950</v>
      </c>
      <c r="D8" s="182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>
      <c r="A9" s="80"/>
      <c r="B9" s="183" t="s">
        <v>37</v>
      </c>
      <c r="C9" s="184">
        <f>'Neraca Saldo'!C8+'Neraca Saldo'!D8</f>
        <v>35000</v>
      </c>
      <c r="D9" s="182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>
      <c r="A10" s="80"/>
      <c r="B10" s="186" t="s">
        <v>378</v>
      </c>
      <c r="C10" s="184">
        <f>'Neraca Saldo'!C11+'Neraca Saldo'!D11</f>
        <v>0</v>
      </c>
      <c r="D10" s="182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0"/>
      <c r="B11" s="186" t="s">
        <v>61</v>
      </c>
      <c r="C11" s="184">
        <f>'Neraca Saldo'!C31+'Neraca Saldo'!D31</f>
        <v>9200000</v>
      </c>
      <c r="D11" s="182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>
      <c r="A12" s="80"/>
      <c r="B12" s="186" t="s">
        <v>58</v>
      </c>
      <c r="C12" s="184">
        <f>'Neraca Saldo'!C29+'Neraca Saldo'!D29</f>
        <v>33060000</v>
      </c>
      <c r="D12" s="182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80"/>
      <c r="B13" s="186" t="s">
        <v>64</v>
      </c>
      <c r="C13" s="184">
        <f>'Neraca Saldo'!C34+'Neraca Saldo'!D34</f>
        <v>0</v>
      </c>
      <c r="D13" s="182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80"/>
      <c r="B14" s="183" t="s">
        <v>382</v>
      </c>
      <c r="C14" s="184">
        <f>'Neraca Saldo'!C42+'Neraca Saldo'!D42</f>
        <v>5852000</v>
      </c>
      <c r="D14" s="182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80"/>
      <c r="B15" s="186" t="s">
        <v>55</v>
      </c>
      <c r="C15" s="184">
        <f>'Neraca Saldo'!C26+'Neraca Saldo'!D26</f>
        <v>351000</v>
      </c>
      <c r="D15" s="182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80"/>
      <c r="B16" s="86" t="s">
        <v>384</v>
      </c>
      <c r="C16" s="191">
        <f>SUM(C7:C15)</f>
        <v>64139450</v>
      </c>
      <c r="D16" s="18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0"/>
      <c r="B17" s="80"/>
      <c r="C17" s="80"/>
      <c r="D17" s="182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6" t="s">
        <v>45</v>
      </c>
      <c r="B18" s="80"/>
      <c r="C18" s="80"/>
      <c r="D18" s="182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0"/>
      <c r="B19" s="186" t="s">
        <v>44</v>
      </c>
      <c r="C19" s="184">
        <f>'Neraca Saldo'!C9+'Neraca Saldo'!D9</f>
        <v>9500</v>
      </c>
      <c r="D19" s="182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0"/>
      <c r="B20" s="183" t="s">
        <v>47</v>
      </c>
      <c r="C20" s="184">
        <f>-('Neraca Saldo'!C10+'Neraca Saldo'!D10)</f>
        <v>-2911611</v>
      </c>
      <c r="D20" s="182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>
      <c r="A21" s="80"/>
      <c r="B21" s="86" t="s">
        <v>387</v>
      </c>
      <c r="C21" s="191">
        <f>C19+C20</f>
        <v>-2902111</v>
      </c>
      <c r="D21" s="182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>
      <c r="A22" s="80"/>
      <c r="B22" s="80"/>
      <c r="C22" s="80"/>
      <c r="D22" s="182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>
      <c r="A23" s="179" t="s">
        <v>388</v>
      </c>
      <c r="B23" s="180"/>
      <c r="C23" s="192">
        <f>C16+C21</f>
        <v>61237339</v>
      </c>
      <c r="D23" s="181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>
      <c r="A24" s="80"/>
      <c r="B24" s="80"/>
      <c r="C24" s="80"/>
      <c r="D24" s="182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179" t="s">
        <v>390</v>
      </c>
      <c r="B25" s="180"/>
      <c r="C25" s="180"/>
      <c r="D25" s="181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0"/>
      <c r="B26" s="186" t="s">
        <v>69</v>
      </c>
      <c r="C26" s="184">
        <f>'Neraca Saldo'!C12+'Neraca Saldo'!D12</f>
        <v>0</v>
      </c>
      <c r="D26" s="182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0"/>
      <c r="B27" s="86" t="s">
        <v>97</v>
      </c>
      <c r="C27" s="191">
        <f>C26</f>
        <v>0</v>
      </c>
      <c r="D27" s="182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0"/>
      <c r="B28" s="80"/>
      <c r="C28" s="80"/>
      <c r="D28" s="182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179" t="s">
        <v>392</v>
      </c>
      <c r="B29" s="180"/>
      <c r="C29" s="180"/>
      <c r="D29" s="181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0"/>
      <c r="B30" s="183" t="s">
        <v>393</v>
      </c>
      <c r="C30" s="184">
        <f>'Neraca Saldo'!C13+'Neraca Saldo'!D13</f>
        <v>61870000</v>
      </c>
      <c r="D30" s="182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0"/>
      <c r="B31" s="183" t="s">
        <v>394</v>
      </c>
      <c r="C31" s="184">
        <f>'Laba Rugi'!C42</f>
        <v>-632661</v>
      </c>
      <c r="D31" s="182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0"/>
      <c r="B32" s="183" t="s">
        <v>78</v>
      </c>
      <c r="C32" s="184">
        <f>-('Neraca Saldo'!C14+'Neraca Saldo'!D14)</f>
        <v>0</v>
      </c>
      <c r="D32" s="182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0"/>
      <c r="B33" s="86" t="s">
        <v>395</v>
      </c>
      <c r="C33" s="191">
        <f>C30+C31+C32</f>
        <v>61237339</v>
      </c>
      <c r="D33" s="182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0"/>
      <c r="C34" s="80"/>
      <c r="D34" s="182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179" t="s">
        <v>398</v>
      </c>
      <c r="B35" s="180"/>
      <c r="C35" s="192">
        <f>C27+C33</f>
        <v>61237339</v>
      </c>
      <c r="D35" s="181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0"/>
      <c r="C36" s="80"/>
      <c r="D36" s="182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80"/>
      <c r="B37" s="80"/>
      <c r="C37" s="80"/>
      <c r="D37" s="182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80"/>
      <c r="B38" s="194" t="str">
        <f>IF(ROUND(C23-C35,0)=0,"Neraca Seimbang (Balance)","TIDAK SEIMBANG - cek input!")</f>
        <v>Neraca Seimbang (Balance)</v>
      </c>
      <c r="C38" s="80"/>
      <c r="D38" s="182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5.75" customHeight="1">
      <c r="A39" s="80"/>
      <c r="B39" s="80"/>
      <c r="C39" s="80"/>
      <c r="D39" s="182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  <row r="1001" ht="15.75" customHeight="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</row>
    <row r="1002" ht="15.75" customHeight="1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</row>
    <row r="1003" ht="15.75" customHeight="1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</row>
    <row r="1004" ht="15.75" customHeight="1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</row>
  </sheetData>
  <mergeCells count="3">
    <mergeCell ref="A1:C1"/>
    <mergeCell ref="A2:C2"/>
    <mergeCell ref="A3:C3"/>
  </mergeCells>
  <printOptions horizontalCentered="1"/>
  <pageMargins bottom="1.0" footer="0.0" header="0.0" left="0.75" right="0.75" top="1.0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4.0"/>
    <col customWidth="1" min="3" max="3" width="74.86"/>
    <col customWidth="1" min="4" max="5" width="18.0"/>
    <col customWidth="1" min="6" max="6" width="8.71"/>
    <col customWidth="1" min="7" max="7" width="13.29"/>
    <col customWidth="1" min="8" max="27" width="8.71"/>
  </cols>
  <sheetData>
    <row r="1" ht="21.75" customHeight="1">
      <c r="A1" s="185"/>
      <c r="B1" s="175" t="s">
        <v>1</v>
      </c>
      <c r="E1" s="175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15.75" customHeight="1">
      <c r="A2" s="187"/>
      <c r="B2" s="176" t="s">
        <v>2</v>
      </c>
      <c r="E2" s="176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15.75" customHeight="1">
      <c r="A3" s="178"/>
      <c r="B3" s="188" t="s">
        <v>379</v>
      </c>
      <c r="E3" s="188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>
      <c r="A5" s="189" t="s">
        <v>380</v>
      </c>
      <c r="B5" s="179" t="s">
        <v>381</v>
      </c>
      <c r="C5" s="180"/>
      <c r="D5" s="180"/>
      <c r="E5" s="181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>
      <c r="A6" s="190">
        <v>4101.0</v>
      </c>
      <c r="B6" s="80"/>
      <c r="C6" s="186" t="s">
        <v>383</v>
      </c>
      <c r="D6" s="184">
        <f>SUMIFS('Jurnal Umum'!$F$6:$F$2564,'Jurnal Umum'!$D$6:$D$2564,"1101",'Jurnal Umum'!$L$6:$L$2564,$A6)
+SUMIFS('Jurnal Umum'!$F$6:$F$2564,'Jurnal Umum'!$D$6:$D$2564,"1102",'Jurnal Umum'!$L$6:$L$2564,$A6)
-SUMIFS('Jurnal Umum'!$G$6:$G$2564,'Jurnal Umum'!$D$6:$D$2564,"1101",'Jurnal Umum'!$L$6:$L$2564,$A6)
-SUMIFS('Jurnal Umum'!$G$6:$G$2564,'Jurnal Umum'!$D$6:$D$2564,"1102",'Jurnal Umum'!$L$6:$L$2564,$A6)</f>
        <v>1638000</v>
      </c>
      <c r="E6" s="182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>
      <c r="A7" s="190">
        <v>1103.0</v>
      </c>
      <c r="B7" s="80"/>
      <c r="C7" s="186" t="s">
        <v>386</v>
      </c>
      <c r="D7" s="184">
        <f>SUMIFS('Jurnal Umum'!$F$6:$F$2564,'Jurnal Umum'!$D$6:$D$2564,"1101",'Jurnal Umum'!$L$6:$L$2564,$A7)
+SUMIFS('Jurnal Umum'!$F$6:$F$2564,'Jurnal Umum'!$D$6:$D$2564,"1102",'Jurnal Umum'!$L$6:$L$2564,$A7)
-SUMIFS('Jurnal Umum'!$G$6:$G$2564,'Jurnal Umum'!$D$6:$D$2564,"1101",'Jurnal Umum'!$L$6:$L$2564,$A7)
-SUMIFS('Jurnal Umum'!$G$6:$G$2564,'Jurnal Umum'!$D$6:$D$2564,"1102",'Jurnal Umum'!$L$6:$L$2564,$A7)</f>
        <v>51026250</v>
      </c>
      <c r="E7" s="182"/>
      <c r="F7" s="80"/>
      <c r="G7" s="193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>
      <c r="A8" s="190">
        <v>1107.0</v>
      </c>
      <c r="B8" s="80"/>
      <c r="C8" s="186" t="s">
        <v>391</v>
      </c>
      <c r="D8" s="184">
        <f>SUMIFS('Jurnal Umum'!$F$6:$F$2564,'Jurnal Umum'!$D$6:$D$2564,"1101",'Jurnal Umum'!$L$6:$L$2564,$A8)
+SUMIFS('Jurnal Umum'!$F$6:$F$2564,'Jurnal Umum'!$D$6:$D$2564,"1102",'Jurnal Umum'!$L$6:$L$2564,$A8)
-SUMIFS('Jurnal Umum'!$G$6:$G$2564,'Jurnal Umum'!$D$6:$D$2564,"1101",'Jurnal Umum'!$L$6:$L$2564,$A8)
-SUMIFS('Jurnal Umum'!$G$6:$G$2564,'Jurnal Umum'!$D$6:$D$2564,"1102",'Jurnal Umum'!$L$6:$L$2564,$A8)</f>
        <v>0</v>
      </c>
      <c r="E8" s="182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>
      <c r="A9" s="190" t="s">
        <v>396</v>
      </c>
      <c r="B9" s="80"/>
      <c r="C9" s="186" t="s">
        <v>397</v>
      </c>
      <c r="D9" s="184">
        <f>SUMIFS('Jurnal Umum'!$F$6:$F$2564,'Jurnal Umum'!$D$6:$D$2564,"1101",'Jurnal Umum'!$L$6:$L$2564,$A9)
+SUMIFS('Jurnal Umum'!$F$6:$F$2564,'Jurnal Umum'!$D$6:$D$2564,"1102",'Jurnal Umum'!$L$6:$L$2564,$A9)
-SUMIFS('Jurnal Umum'!$G$6:$G$2564,'Jurnal Umum'!$D$6:$D$2564,"1101",'Jurnal Umum'!$L$6:$L$2564,$A9)
-SUMIFS('Jurnal Umum'!$G$6:$G$2564,'Jurnal Umum'!$D$6:$D$2564,"1102",'Jurnal Umum'!$L$6:$L$2564,$A9)</f>
        <v>-33607500</v>
      </c>
      <c r="E9" s="182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>
      <c r="A10" s="190">
        <v>2101.0</v>
      </c>
      <c r="B10" s="80"/>
      <c r="C10" s="186" t="s">
        <v>400</v>
      </c>
      <c r="D10" s="184">
        <f>SUMIFS('Jurnal Umum'!$F$6:$F$2564,'Jurnal Umum'!$D$6:$D$2564,"1101",'Jurnal Umum'!$L$6:$L$2564,$A10)
+SUMIFS('Jurnal Umum'!$F$6:$F$2564,'Jurnal Umum'!$D$6:$D$2564,"1102",'Jurnal Umum'!$L$6:$L$2564,$A10)
-SUMIFS('Jurnal Umum'!$G$6:$G$2564,'Jurnal Umum'!$D$6:$D$2564,"1101",'Jurnal Umum'!$L$6:$L$2564,$A10)
-SUMIFS('Jurnal Umum'!$G$6:$G$2564,'Jurnal Umum'!$D$6:$D$2564,"1102",'Jurnal Umum'!$L$6:$L$2564,$A10)</f>
        <v>-3370000</v>
      </c>
      <c r="E10" s="182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190" t="s">
        <v>403</v>
      </c>
      <c r="B11" s="80"/>
      <c r="C11" s="186" t="s">
        <v>404</v>
      </c>
      <c r="D11" s="184">
        <f>SUMIFS('Jurnal Umum'!$F$6:$F$2564,'Jurnal Umum'!$D$6:$D$2564,"1101",'Jurnal Umum'!$L$6:$L$2564,$A11)
+SUMIFS('Jurnal Umum'!$F$6:$F$2564,'Jurnal Umum'!$D$6:$D$2564,"1102",'Jurnal Umum'!$L$6:$L$2564,$A11)
-SUMIFS('Jurnal Umum'!$G$6:$G$2564,'Jurnal Umum'!$D$6:$D$2564,"1101",'Jurnal Umum'!$L$6:$L$2564,$A11)
-SUMIFS('Jurnal Umum'!$G$6:$G$2564,'Jurnal Umum'!$D$6:$D$2564,"1102",'Jurnal Umum'!$L$6:$L$2564,$A11)</f>
        <v>-15423800</v>
      </c>
      <c r="E11" s="182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>
      <c r="A12" s="190">
        <v>1108.0</v>
      </c>
      <c r="B12" s="80"/>
      <c r="C12" s="186" t="s">
        <v>405</v>
      </c>
      <c r="D12" s="184">
        <f>SUMIFS('Jurnal Umum'!$F$6:$F$2564,'Jurnal Umum'!$D$6:$D$2564,"1101",'Jurnal Umum'!$L$6:$L$2564,$A12)
+SUMIFS('Jurnal Umum'!$F$6:$F$2564,'Jurnal Umum'!$D$6:$D$2564,"1102",'Jurnal Umum'!$L$6:$L$2564,$A12)
-SUMIFS('Jurnal Umum'!$G$6:$G$2564,'Jurnal Umum'!$D$6:$D$2564,"1101",'Jurnal Umum'!$L$6:$L$2564,$A12)
-SUMIFS('Jurnal Umum'!$G$6:$G$2564,'Jurnal Umum'!$D$6:$D$2564,"1102",'Jurnal Umum'!$L$6:$L$2564,$A12)</f>
        <v>-1296000</v>
      </c>
      <c r="E12" s="182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>
      <c r="A13" s="190">
        <v>4103.0</v>
      </c>
      <c r="B13" s="80"/>
      <c r="C13" s="186" t="s">
        <v>408</v>
      </c>
      <c r="D13" s="184">
        <f>SUMIFS('Jurnal Umum'!$F$6:$F$2564,'Jurnal Umum'!$D$6:$D$2564,"1101",'Jurnal Umum'!$L$6:$L$2564,$A13)
+SUMIFS('Jurnal Umum'!$F$6:$F$2564,'Jurnal Umum'!$D$6:$D$2564,"1102",'Jurnal Umum'!$L$6:$L$2564,$A13)
-SUMIFS('Jurnal Umum'!$G$6:$G$2564,'Jurnal Umum'!$D$6:$D$2564,"1101",'Jurnal Umum'!$L$6:$L$2564,$A13)
-SUMIFS('Jurnal Umum'!$G$6:$G$2564,'Jurnal Umum'!$D$6:$D$2564,"1102",'Jurnal Umum'!$L$6:$L$2564,$A13)</f>
        <v>363000</v>
      </c>
      <c r="E13" s="182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>
      <c r="A14" s="190">
        <v>1110.0</v>
      </c>
      <c r="B14" s="80"/>
      <c r="C14" s="186" t="s">
        <v>61</v>
      </c>
      <c r="D14" s="184">
        <f>SUMIFS('Jurnal Umum'!$F$6:$F$2564,'Jurnal Umum'!$D$6:$D$2564,"1101",'Jurnal Umum'!$L$6:$L$2564,$A14)
+SUMIFS('Jurnal Umum'!$F$6:$F$2564,'Jurnal Umum'!$D$6:$D$2564,"1102",'Jurnal Umum'!$L$6:$L$2564,$A14)
-SUMIFS('Jurnal Umum'!$G$6:$G$2564,'Jurnal Umum'!$D$6:$D$2564,"1101",'Jurnal Umum'!$L$6:$L$2564,$A14)
-SUMIFS('Jurnal Umum'!$G$6:$G$2564,'Jurnal Umum'!$D$6:$D$2564,"1102",'Jurnal Umum'!$L$6:$L$2564,$A14)</f>
        <v>-9200000</v>
      </c>
      <c r="E14" s="182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>
      <c r="A15" s="190">
        <v>1111.0</v>
      </c>
      <c r="B15" s="80"/>
      <c r="C15" s="186" t="s">
        <v>64</v>
      </c>
      <c r="D15" s="184">
        <f>SUMIFS('Jurnal Umum'!$F$6:$F$2564,'Jurnal Umum'!$D$6:$D$2564,"1101",'Jurnal Umum'!$L$6:$L$2564,$A15)
+SUMIFS('Jurnal Umum'!$F$6:$F$2564,'Jurnal Umum'!$D$6:$D$2564,"1102",'Jurnal Umum'!$L$6:$L$2564,$A15)
-SUMIFS('Jurnal Umum'!$G$6:$G$2564,'Jurnal Umum'!$D$6:$D$2564,"1101",'Jurnal Umum'!$L$6:$L$2564,$A15)
-SUMIFS('Jurnal Umum'!$G$6:$G$2564,'Jurnal Umum'!$D$6:$D$2564,"1102",'Jurnal Umum'!$L$6:$L$2564,$A15)</f>
        <v>-850000</v>
      </c>
      <c r="E15" s="182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>
      <c r="A16" s="190">
        <v>4104.0</v>
      </c>
      <c r="B16" s="80"/>
      <c r="C16" s="186" t="s">
        <v>413</v>
      </c>
      <c r="D16" s="184">
        <f>SUMIFS('Jurnal Umum'!$F$6:$F$2564,'Jurnal Umum'!$D$6:$D$2564,"1101",'Jurnal Umum'!$L$6:$L$2564,$A16)
+SUMIFS('Jurnal Umum'!$F$6:$F$2564,'Jurnal Umum'!$D$6:$D$2564,"1102",'Jurnal Umum'!$L$6:$L$2564,$A16)
-SUMIFS('Jurnal Umum'!$G$6:$G$2564,'Jurnal Umum'!$D$6:$D$2564,"1101",'Jurnal Umum'!$L$6:$L$2564,$A16)
-SUMIFS('Jurnal Umum'!$G$6:$G$2564,'Jurnal Umum'!$D$6:$D$2564,"1102",'Jurnal Umum'!$L$6:$L$2564,$A16)</f>
        <v>95000</v>
      </c>
      <c r="E16" s="182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>
      <c r="A17" s="190">
        <v>2102.0</v>
      </c>
      <c r="B17" s="80"/>
      <c r="C17" s="186" t="s">
        <v>414</v>
      </c>
      <c r="D17" s="184">
        <f>SUMIFS('Jurnal Umum'!$F$6:$F$2564,'Jurnal Umum'!$D$6:$D$2564,"1101",'Jurnal Umum'!$L$6:$L$2564,$A17)
+SUMIFS('Jurnal Umum'!$F$6:$F$2564,'Jurnal Umum'!$D$6:$D$2564,"1102",'Jurnal Umum'!$L$6:$L$2564,$A17)
-SUMIFS('Jurnal Umum'!$G$6:$G$2564,'Jurnal Umum'!$D$6:$D$2564,"1101",'Jurnal Umum'!$L$6:$L$2564,$A17)
-SUMIFS('Jurnal Umum'!$G$6:$G$2564,'Jurnal Umum'!$D$6:$D$2564,"1102",'Jurnal Umum'!$L$6:$L$2564,$A17)</f>
        <v>0</v>
      </c>
      <c r="E17" s="182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>
      <c r="A18" s="80"/>
      <c r="B18" s="80"/>
      <c r="C18" s="86" t="s">
        <v>416</v>
      </c>
      <c r="D18" s="184">
        <f>SUM(D6:D17)</f>
        <v>-10625050</v>
      </c>
      <c r="E18" s="182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>
      <c r="A19" s="80"/>
      <c r="B19" s="80"/>
      <c r="C19" s="80"/>
      <c r="D19" s="184"/>
      <c r="E19" s="182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>
      <c r="A20" s="195"/>
      <c r="B20" s="179" t="s">
        <v>417</v>
      </c>
      <c r="C20" s="180"/>
      <c r="D20" s="196"/>
      <c r="E20" s="181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>
      <c r="A21" s="190">
        <v>1105.0</v>
      </c>
      <c r="B21" s="80"/>
      <c r="C21" s="186" t="s">
        <v>418</v>
      </c>
      <c r="D21" s="184">
        <f>SUMIFS('Jurnal Umum'!$F$6:$F$2564,'Jurnal Umum'!$D$6:$D$2564,"1101",'Jurnal Umum'!$L$6:$L$2564,$A21)
+SUMIFS('Jurnal Umum'!$F$6:$F$909,'Jurnal Umum'!$D$6:$D$909,"1102",'Jurnal Umum'!$L$6:$L$909,$A21)
-SUMIFS('Jurnal Umum'!$G$6:$G$909,'Jurnal Umum'!$D$6:$D$909,"1101",'Jurnal Umum'!$L$6:$L$909,$A21)
-SUMIFS('Jurnal Umum'!$G$6:$G$909,'Jurnal Umum'!$D$6:$D$909,"1102",'Jurnal Umum'!$L$6:$L$909,$A21)</f>
        <v>-9500</v>
      </c>
      <c r="E21" s="182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>
      <c r="A22" s="190">
        <v>1109.0</v>
      </c>
      <c r="B22" s="80"/>
      <c r="C22" s="186" t="s">
        <v>420</v>
      </c>
      <c r="D22" s="184">
        <f>SUMIFS('Jurnal Umum'!$F$6:$F$2564,'Jurnal Umum'!$D$6:$D$2564,"1101",'Jurnal Umum'!$L$6:$L$2564,$A22)
+SUMIFS('Jurnal Umum'!$F$6:$F$909,'Jurnal Umum'!$D$6:$D$909,"1102",'Jurnal Umum'!$L$6:$L$909,$A22)
-SUMIFS('Jurnal Umum'!$G$6:$G$909,'Jurnal Umum'!$D$6:$D$909,"1101",'Jurnal Umum'!$L$6:$L$909,$A22)
-SUMIFS('Jurnal Umum'!$G$6:$G$909,'Jurnal Umum'!$D$6:$D$909,"1102",'Jurnal Umum'!$L$6:$L$909,$A22)</f>
        <v>-33060000</v>
      </c>
      <c r="E22" s="182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>
      <c r="A23" s="190">
        <v>1112.0</v>
      </c>
      <c r="B23" s="80"/>
      <c r="C23" s="186" t="s">
        <v>66</v>
      </c>
      <c r="D23" s="184">
        <f>SUMIFS('Jurnal Umum'!$F$6:$F$2564,'Jurnal Umum'!$D$6:$D$2564,"1101",'Jurnal Umum'!$L$6:$L$2564,$A23)
+SUMIFS('Jurnal Umum'!$F$6:$F$909,'Jurnal Umum'!$D$6:$D$909,"1102",'Jurnal Umum'!$L$6:$L$909,$A23)
-SUMIFS('Jurnal Umum'!$G$6:$G$909,'Jurnal Umum'!$D$6:$D$909,"1101",'Jurnal Umum'!$L$6:$L$909,$A23)
-SUMIFS('Jurnal Umum'!$G$6:$G$909,'Jurnal Umum'!$D$6:$D$909,"1102",'Jurnal Umum'!$L$6:$L$909,$A23)</f>
        <v>0</v>
      </c>
      <c r="E23" s="182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5.75" customHeight="1">
      <c r="A24" s="80"/>
      <c r="B24" s="80"/>
      <c r="C24" s="86" t="s">
        <v>423</v>
      </c>
      <c r="D24" s="184">
        <f>SUM(D21:D22)</f>
        <v>-33069500</v>
      </c>
      <c r="E24" s="182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15.75" customHeight="1">
      <c r="A25" s="80"/>
      <c r="B25" s="80"/>
      <c r="C25" s="80"/>
      <c r="D25" s="184"/>
      <c r="E25" s="182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15.75" customHeight="1">
      <c r="A26" s="195"/>
      <c r="B26" s="179" t="s">
        <v>424</v>
      </c>
      <c r="C26" s="180"/>
      <c r="D26" s="196"/>
      <c r="E26" s="181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15.75" customHeight="1">
      <c r="A27" s="190">
        <v>3101.0</v>
      </c>
      <c r="B27" s="80"/>
      <c r="C27" s="186" t="s">
        <v>425</v>
      </c>
      <c r="D27" s="184">
        <f>SUMIFS('Jurnal Umum'!$F$6:$F$2564,'Jurnal Umum'!$D$6:$D$2564,"1101",'Jurnal Umum'!$L$6:$L$2564,$A27)
+SUMIFS('Jurnal Umum'!$F$6:$F$2564,'Jurnal Umum'!$D$6:$D2564,"1102",'Jurnal Umum'!$L$6:$L$2564,$A27)
-SUMIFS('Jurnal Umum'!$G$6:$G$2564,'Jurnal Umum'!$D$6:$D$2564,"1101",'Jurnal Umum'!$L$6:$L$2564,$A27)
-SUMIFS('Jurnal Umum'!$G$6:$G$2564,'Jurnal Umum'!$D$6:$D$2564,"1102",'Jurnal Umum'!$L$6:$L$2564,$A27)</f>
        <v>59336000</v>
      </c>
      <c r="E27" s="182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15.75" customHeight="1">
      <c r="A28" s="190">
        <v>3102.0</v>
      </c>
      <c r="B28" s="80"/>
      <c r="C28" s="186" t="s">
        <v>427</v>
      </c>
      <c r="D28" s="184">
        <f>SUMIFS('Jurnal Umum'!$F$6:$F$909,'Jurnal Umum'!$D$6:$D$909,"1101",'Jurnal Umum'!$L$6:$L$909,$A28)
+SUMIFS('Jurnal Umum'!$F$6:$F$909,'Jurnal Umum'!$D$6:$D$909,"1102",'Jurnal Umum'!$L$6:$L$909,$A28)
-SUMIFS('Jurnal Umum'!$G$6:$G$909,'Jurnal Umum'!$D$6:$D$909,"1101",'Jurnal Umum'!$L$6:$L$909,$A28)
-SUMIFS('Jurnal Umum'!$G$6:$G$909,'Jurnal Umum'!$D$6:$D$909,"1102",'Jurnal Umum'!$L$6:$L$909,$A28)</f>
        <v>0</v>
      </c>
      <c r="E28" s="182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ht="15.75" customHeight="1">
      <c r="A29" s="80"/>
      <c r="B29" s="80"/>
      <c r="C29" s="86" t="s">
        <v>428</v>
      </c>
      <c r="D29" s="191">
        <f>SUM(D27:D28)</f>
        <v>59336000</v>
      </c>
      <c r="E29" s="182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ht="15.75" customHeight="1">
      <c r="A30" s="80"/>
      <c r="B30" s="80"/>
      <c r="C30" s="80"/>
      <c r="D30" s="80"/>
      <c r="E30" s="182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15.75" customHeight="1">
      <c r="A31" s="195"/>
      <c r="B31" s="179" t="s">
        <v>430</v>
      </c>
      <c r="C31" s="180"/>
      <c r="D31" s="192">
        <f>D18+D24+D29</f>
        <v>15641450</v>
      </c>
      <c r="E31" s="181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15.75" customHeight="1">
      <c r="A32" s="80"/>
      <c r="B32" s="80"/>
      <c r="C32" s="183" t="s">
        <v>431</v>
      </c>
      <c r="D32" s="197">
        <v>0.0</v>
      </c>
      <c r="E32" s="182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15.75" customHeight="1">
      <c r="A33" s="198"/>
      <c r="B33" s="179" t="s">
        <v>432</v>
      </c>
      <c r="C33" s="199"/>
      <c r="D33" s="200">
        <f>D31+D32</f>
        <v>15641450</v>
      </c>
      <c r="E33" s="181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15.75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15.75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15.75" customHeight="1">
      <c r="A36" s="80"/>
      <c r="B36" s="80"/>
      <c r="C36" s="194" t="str">
        <f>IF(ROUND(D33-('Neraca Saldo'!C6+'Neraca Saldo'!C7),0)=0,"Cocok dengan saldo Kas+Bank di Neraca Saldo","Cek kembali - tidak cocok")</f>
        <v>Cocok dengan saldo Kas+Bank di Neraca Saldo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15.75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ht="15.75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ht="15.75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15.75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15.75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15.75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15.75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15.75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15.75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ht="15.75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 ht="15.75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 ht="15.75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 ht="15.75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 ht="15.75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</row>
    <row r="1001" ht="15.75" customHeight="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</row>
    <row r="1002" ht="15.75" customHeight="1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</row>
  </sheetData>
  <mergeCells count="3">
    <mergeCell ref="B1:D1"/>
    <mergeCell ref="B2:D2"/>
    <mergeCell ref="B3:D3"/>
  </mergeCells>
  <printOptions horizontalCentered="1"/>
  <pageMargins bottom="1.0" footer="0.0" header="0.0" left="0.75" right="0.75" top="1.0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4" width="16.0"/>
    <col customWidth="1" min="5" max="5" width="18.0"/>
    <col customWidth="1" min="6" max="6" width="16.0"/>
    <col customWidth="1" min="7" max="7" width="18.0"/>
    <col customWidth="1" min="8" max="26" width="8.71"/>
  </cols>
  <sheetData>
    <row r="1" ht="21.75" customHeight="1">
      <c r="A1" s="201" t="s">
        <v>482</v>
      </c>
    </row>
    <row r="2" ht="15.75" customHeight="1">
      <c r="A2" s="14" t="s">
        <v>2</v>
      </c>
    </row>
    <row r="3" ht="15.75" customHeight="1">
      <c r="A3" s="202" t="s">
        <v>483</v>
      </c>
    </row>
    <row r="5" ht="25.5" customHeight="1">
      <c r="A5" s="16" t="s">
        <v>484</v>
      </c>
      <c r="B5" s="16" t="s">
        <v>49</v>
      </c>
      <c r="C5" s="16" t="s">
        <v>104</v>
      </c>
      <c r="D5" s="16" t="s">
        <v>62</v>
      </c>
      <c r="E5" s="16" t="s">
        <v>107</v>
      </c>
      <c r="F5" s="16" t="s">
        <v>76</v>
      </c>
      <c r="G5" s="16" t="s">
        <v>486</v>
      </c>
    </row>
    <row r="6">
      <c r="A6" s="203" t="s">
        <v>487</v>
      </c>
      <c r="B6" s="46">
        <f>'Laba Rugi'!C8</f>
        <v>55819250</v>
      </c>
      <c r="C6" s="46">
        <f>'Laba Rugi'!C18</f>
        <v>35664500</v>
      </c>
      <c r="D6" s="46">
        <f>'Laba Rugi'!C20</f>
        <v>20154750</v>
      </c>
      <c r="E6" s="46">
        <f>'Laba Rugi'!C33</f>
        <v>21245411</v>
      </c>
      <c r="F6" s="46">
        <f>'Laba Rugi'!C42</f>
        <v>-632661</v>
      </c>
      <c r="G6" s="46">
        <f>'Arus Kas'!D33</f>
        <v>15641450</v>
      </c>
    </row>
    <row r="8">
      <c r="A8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G3"/>
    <mergeCell ref="A8:G8"/>
  </mergeCells>
  <printOptions/>
  <pageMargins bottom="1.0" footer="0.0" header="0.0" left="0.75" right="0.75" top="1.0"/>
  <pageSetup paperSize="9" orientation="portrait"/>
  <drawing r:id="rId1"/>
</worksheet>
</file>